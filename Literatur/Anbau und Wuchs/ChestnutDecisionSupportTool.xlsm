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harts/chart5.xml" ContentType="application/vnd.openxmlformats-officedocument.drawingml.chart+xml"/>
  <Override PartName="/xl/vbaProject.bin" ContentType="application/vnd.ms-office.vbaProject"/>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1.xml" ContentType="application/vnd.openxmlformats-officedocument.spreadsheetml.comments+xml"/>
  <Override PartName="/xl/ctrlProps/ctrlProp1.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7.xml" ContentType="application/vnd.ms-excel.controlproperties+xml"/>
  <Override PartName="/docProps/app.xml" ContentType="application/vnd.openxmlformats-officedocument.extended-properties+xml"/>
  <Override PartName="/xl/ctrlProps/ctrlProp6.xml" ContentType="application/vnd.ms-excel.controlproperties+xml"/>
  <Override PartName="/xl/ctrlProps/ctrlProp5.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2.xml" ContentType="application/vnd.ms-excel.controlproperties+xml"/>
  <Override PartName="/xl/ctrlProps/ctrlProp9.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comments2.xml" ContentType="application/vnd.openxmlformats-officedocument.spreadsheetml.comments+xml"/>
  <Override PartName="/docProps/core.xml" ContentType="application/vnd.openxmlformats-package.core-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827"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hemmelgarnh\Desktop\"/>
    </mc:Choice>
  </mc:AlternateContent>
  <xr:revisionPtr revIDLastSave="0" documentId="8_{8786856E-CFB7-44A4-874A-5D8ACD75D448}" xr6:coauthVersionLast="45" xr6:coauthVersionMax="45" xr10:uidLastSave="{00000000-0000-0000-0000-000000000000}"/>
  <bookViews>
    <workbookView xWindow="0" yWindow="1140" windowWidth="19200" windowHeight="9570" tabRatio="778" activeTab="6" xr2:uid="{00000000-000D-0000-FFFF-FFFF00000000}"/>
  </bookViews>
  <sheets>
    <sheet name="Management Input" sheetId="1" r:id="rId1"/>
    <sheet name="Cost Budgets" sheetId="2" r:id="rId2"/>
    <sheet name="Financial Analysis" sheetId="4" r:id="rId3"/>
    <sheet name="Input Tables" sheetId="5" r:id="rId4"/>
    <sheet name="Recommendations" sheetId="6" state="hidden" r:id="rId5"/>
    <sheet name="Chemical costs" sheetId="7" r:id="rId6"/>
    <sheet name="Growth models" sheetId="9" r:id="rId7"/>
  </sheets>
  <definedNames>
    <definedName name="Calculations">'Cost Budgets'!$A$89:$F$113</definedName>
    <definedName name="DeerC">'Input Tables'!$A$76:$A$82</definedName>
    <definedName name="Design">Recommendations!$A$20</definedName>
    <definedName name="Disease">Recommendations!$A$175</definedName>
    <definedName name="DiseaseC">'Input Tables'!$A$68:$A$73</definedName>
    <definedName name="DryM">'Input Tables'!#REF!</definedName>
    <definedName name="Establish">Recommendations!$A$64</definedName>
    <definedName name="Fert">'Input Tables'!$A$20:$A$22</definedName>
    <definedName name="fertrec">Recommendations!$A$89:$O$100</definedName>
    <definedName name="Grade">'Input Tables'!#REF!</definedName>
    <definedName name="Graft">'Input Tables'!$A$85:$A$89</definedName>
    <definedName name="Harvest">'Input Tables'!$A$92:$A$96</definedName>
    <definedName name="Hull">'Input Tables'!#REF!</definedName>
    <definedName name="Irrigate">'Input Tables'!$A$106:$A$110</definedName>
    <definedName name="Layout">'Input Tables'!$A$8:$A$10</definedName>
    <definedName name="ManFert">'Input Tables'!$A$35:$A$38</definedName>
    <definedName name="Pest">Recommendations!$A$147:$O$210</definedName>
    <definedName name="PestC">'Input Tables'!$A$54:$A$65</definedName>
    <definedName name="Prep">'Input Tables'!$A$3:$A$5</definedName>
    <definedName name="_xlnm.Print_Area" localSheetId="1">'Cost Budgets'!$A$1:$I$24</definedName>
    <definedName name="Prune">Recommendations!$A$110</definedName>
    <definedName name="Prune1">'Input Tables'!$A$41:$A$44</definedName>
    <definedName name="SI">'Input Tables'!$A$99:$A$102</definedName>
    <definedName name="SiteRec">Recommendations!$A$5</definedName>
    <definedName name="Stake">Recommendations!$A$122:$O$144</definedName>
    <definedName name="Stake1">'Input Tables'!$A$28:$A$31</definedName>
    <definedName name="Standards">#REF!</definedName>
    <definedName name="Stock">'Input Tables'!$A$13:$A$17</definedName>
    <definedName name="Weed">'Input Tables'!$A$47:$A$51</definedName>
    <definedName name="Weed1">Recommendations!$A$103</definedName>
    <definedName name="Yiel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7" i="2" l="1"/>
  <c r="B7" i="9"/>
  <c r="B6" i="9"/>
  <c r="B5" i="9"/>
  <c r="B4" i="9"/>
  <c r="V93" i="9"/>
  <c r="W93" i="9" s="1"/>
  <c r="X93" i="9" s="1"/>
  <c r="Y93" i="9" s="1"/>
  <c r="Z93" i="9" s="1"/>
  <c r="AA93" i="9" s="1"/>
  <c r="AB93" i="9" s="1"/>
  <c r="AC93" i="9" s="1"/>
  <c r="AD93" i="9" s="1"/>
  <c r="AE93" i="9" s="1"/>
  <c r="AF93" i="9" s="1"/>
  <c r="AG93" i="9" s="1"/>
  <c r="AH93" i="9" s="1"/>
  <c r="AI93" i="9" s="1"/>
  <c r="AJ93" i="9" s="1"/>
  <c r="AK93" i="9" s="1"/>
  <c r="AL93" i="9" s="1"/>
  <c r="AM93" i="9" s="1"/>
  <c r="AN93" i="9" s="1"/>
  <c r="AO93" i="9" s="1"/>
  <c r="AP93" i="9" s="1"/>
  <c r="AQ93" i="9" s="1"/>
  <c r="AR93" i="9" s="1"/>
  <c r="AS93" i="9" s="1"/>
  <c r="AT93" i="9" s="1"/>
  <c r="AU93" i="9" s="1"/>
  <c r="AV93" i="9" s="1"/>
  <c r="AW93" i="9" s="1"/>
  <c r="AX93" i="9" s="1"/>
  <c r="AY93" i="9" s="1"/>
  <c r="AZ93" i="9" s="1"/>
  <c r="BA93" i="9" s="1"/>
  <c r="BB93" i="9" s="1"/>
  <c r="BC93" i="9" s="1"/>
  <c r="BD93" i="9" s="1"/>
  <c r="BE93" i="9" s="1"/>
  <c r="BF93" i="9" s="1"/>
  <c r="BG93" i="9" s="1"/>
  <c r="BH93" i="9" s="1"/>
  <c r="BI93" i="9" s="1"/>
  <c r="BJ93" i="9" s="1"/>
  <c r="BK93" i="9" s="1"/>
  <c r="BL93" i="9" s="1"/>
  <c r="BM93" i="9" s="1"/>
  <c r="BN93" i="9" s="1"/>
  <c r="BO93" i="9" s="1"/>
  <c r="BP93" i="9" s="1"/>
  <c r="BQ93" i="9" s="1"/>
  <c r="BR93" i="9" s="1"/>
  <c r="BS93" i="9" s="1"/>
  <c r="V94" i="9"/>
  <c r="W94" i="9" s="1"/>
  <c r="X94" i="9" s="1"/>
  <c r="Y94" i="9" s="1"/>
  <c r="Z94" i="9" s="1"/>
  <c r="AA94" i="9" s="1"/>
  <c r="AB94" i="9" s="1"/>
  <c r="AC94" i="9" s="1"/>
  <c r="AD94" i="9" s="1"/>
  <c r="AE94" i="9" s="1"/>
  <c r="AF94" i="9" s="1"/>
  <c r="AG94" i="9" s="1"/>
  <c r="AH94" i="9" s="1"/>
  <c r="AI94" i="9" s="1"/>
  <c r="AJ94" i="9" s="1"/>
  <c r="AK94" i="9" s="1"/>
  <c r="AL94" i="9" s="1"/>
  <c r="AM94" i="9" s="1"/>
  <c r="AN94" i="9" s="1"/>
  <c r="AO94" i="9" s="1"/>
  <c r="AP94" i="9" s="1"/>
  <c r="AQ94" i="9" s="1"/>
  <c r="AR94" i="9" s="1"/>
  <c r="AS94" i="9" s="1"/>
  <c r="AT94" i="9" s="1"/>
  <c r="AU94" i="9" s="1"/>
  <c r="AV94" i="9" s="1"/>
  <c r="AW94" i="9" s="1"/>
  <c r="AX94" i="9" s="1"/>
  <c r="AY94" i="9" s="1"/>
  <c r="AZ94" i="9" s="1"/>
  <c r="BA94" i="9" s="1"/>
  <c r="BB94" i="9" s="1"/>
  <c r="BC94" i="9" s="1"/>
  <c r="BD94" i="9" s="1"/>
  <c r="BE94" i="9" s="1"/>
  <c r="BF94" i="9" s="1"/>
  <c r="BG94" i="9" s="1"/>
  <c r="BH94" i="9" s="1"/>
  <c r="BI94" i="9" s="1"/>
  <c r="BJ94" i="9" s="1"/>
  <c r="BK94" i="9" s="1"/>
  <c r="BL94" i="9" s="1"/>
  <c r="BM94" i="9" s="1"/>
  <c r="BN94" i="9" s="1"/>
  <c r="BO94" i="9" s="1"/>
  <c r="BP94" i="9" s="1"/>
  <c r="BQ94" i="9" s="1"/>
  <c r="BR94" i="9" s="1"/>
  <c r="BS94" i="9" s="1"/>
  <c r="W92" i="9"/>
  <c r="X92" i="9" s="1"/>
  <c r="Y92" i="9" s="1"/>
  <c r="Z92" i="9" s="1"/>
  <c r="AA92" i="9" s="1"/>
  <c r="AB92" i="9" s="1"/>
  <c r="AC92" i="9" s="1"/>
  <c r="AD92" i="9" s="1"/>
  <c r="AE92" i="9" s="1"/>
  <c r="AF92" i="9" s="1"/>
  <c r="AG92" i="9" s="1"/>
  <c r="AH92" i="9" s="1"/>
  <c r="AI92" i="9" s="1"/>
  <c r="AJ92" i="9" s="1"/>
  <c r="AK92" i="9" s="1"/>
  <c r="AL92" i="9" s="1"/>
  <c r="AM92" i="9" s="1"/>
  <c r="AN92" i="9" s="1"/>
  <c r="AO92" i="9" s="1"/>
  <c r="AP92" i="9" s="1"/>
  <c r="AQ92" i="9" s="1"/>
  <c r="AR92" i="9" s="1"/>
  <c r="AS92" i="9" s="1"/>
  <c r="AT92" i="9" s="1"/>
  <c r="AU92" i="9" s="1"/>
  <c r="AV92" i="9" s="1"/>
  <c r="AW92" i="9" s="1"/>
  <c r="AX92" i="9" s="1"/>
  <c r="AY92" i="9" s="1"/>
  <c r="AZ92" i="9" s="1"/>
  <c r="BA92" i="9" s="1"/>
  <c r="BB92" i="9" s="1"/>
  <c r="BC92" i="9" s="1"/>
  <c r="BD92" i="9" s="1"/>
  <c r="BE92" i="9" s="1"/>
  <c r="BF92" i="9" s="1"/>
  <c r="BG92" i="9" s="1"/>
  <c r="BH92" i="9" s="1"/>
  <c r="BI92" i="9" s="1"/>
  <c r="BJ92" i="9" s="1"/>
  <c r="BK92" i="9" s="1"/>
  <c r="BL92" i="9" s="1"/>
  <c r="BM92" i="9" s="1"/>
  <c r="BN92" i="9" s="1"/>
  <c r="BO92" i="9" s="1"/>
  <c r="BP92" i="9" s="1"/>
  <c r="BQ92" i="9" s="1"/>
  <c r="BR92" i="9" s="1"/>
  <c r="BS92" i="9" s="1"/>
  <c r="U92" i="9"/>
  <c r="V92" i="9"/>
  <c r="K94" i="5" l="1"/>
  <c r="S24" i="1"/>
  <c r="V91" i="9" l="1"/>
  <c r="W91" i="9" l="1"/>
  <c r="M32" i="1"/>
  <c r="M29" i="1"/>
  <c r="M28" i="1"/>
  <c r="M27" i="1"/>
  <c r="B8" i="2"/>
  <c r="X91" i="9" l="1"/>
  <c r="D34" i="4"/>
  <c r="E34" i="4" s="1"/>
  <c r="F34" i="4" s="1"/>
  <c r="G34" i="4" s="1"/>
  <c r="H34" i="4" s="1"/>
  <c r="I34" i="4" s="1"/>
  <c r="J34" i="4" s="1"/>
  <c r="K34" i="4" s="1"/>
  <c r="L34" i="4" s="1"/>
  <c r="M34" i="4" s="1"/>
  <c r="N34" i="4" s="1"/>
  <c r="O34" i="4" s="1"/>
  <c r="P34" i="4" s="1"/>
  <c r="Q34" i="4" s="1"/>
  <c r="R34" i="4" s="1"/>
  <c r="S34" i="4" s="1"/>
  <c r="T34" i="4" s="1"/>
  <c r="U34" i="4" s="1"/>
  <c r="V34" i="4" s="1"/>
  <c r="W34" i="4" s="1"/>
  <c r="X34" i="4" s="1"/>
  <c r="Y34" i="4" s="1"/>
  <c r="Z34" i="4" s="1"/>
  <c r="AA34" i="4" s="1"/>
  <c r="AB34" i="4" s="1"/>
  <c r="AC34" i="4" s="1"/>
  <c r="AD34" i="4" s="1"/>
  <c r="AE34" i="4" s="1"/>
  <c r="AF34" i="4" s="1"/>
  <c r="AG34" i="4" s="1"/>
  <c r="AH34" i="4" s="1"/>
  <c r="AI34" i="4" s="1"/>
  <c r="AJ34" i="4" s="1"/>
  <c r="AK34" i="4" s="1"/>
  <c r="AL34" i="4" s="1"/>
  <c r="AM34" i="4" s="1"/>
  <c r="AN34" i="4" s="1"/>
  <c r="AO34" i="4" s="1"/>
  <c r="AP34" i="4" s="1"/>
  <c r="AQ34" i="4" s="1"/>
  <c r="AR34" i="4" s="1"/>
  <c r="AS34" i="4" s="1"/>
  <c r="AT34" i="4" s="1"/>
  <c r="AU34" i="4" s="1"/>
  <c r="AV34" i="4" s="1"/>
  <c r="AW34" i="4" s="1"/>
  <c r="AX34" i="4" s="1"/>
  <c r="AY34" i="4" s="1"/>
  <c r="AZ34" i="4" s="1"/>
  <c r="BA34" i="4" s="1"/>
  <c r="BB34" i="4" s="1"/>
  <c r="BC34" i="4" s="1"/>
  <c r="BD34" i="4" s="1"/>
  <c r="BE34" i="4" s="1"/>
  <c r="BF34" i="4" s="1"/>
  <c r="BG34" i="4" s="1"/>
  <c r="BH34" i="4" s="1"/>
  <c r="BI34" i="4" s="1"/>
  <c r="BJ34" i="4" s="1"/>
  <c r="BK34" i="4" s="1"/>
  <c r="B108" i="5"/>
  <c r="B107" i="5"/>
  <c r="F8" i="2" s="1"/>
  <c r="B97" i="2"/>
  <c r="Y91" i="9" l="1"/>
  <c r="A32" i="9"/>
  <c r="C2" i="9"/>
  <c r="C100" i="5"/>
  <c r="B100" i="5" s="1"/>
  <c r="B102" i="5"/>
  <c r="C18" i="4"/>
  <c r="C6" i="9" l="1"/>
  <c r="C5" i="9"/>
  <c r="C4" i="9"/>
  <c r="C7" i="9"/>
  <c r="Z91" i="9"/>
  <c r="C99" i="5"/>
  <c r="C101" i="5" s="1"/>
  <c r="B101" i="5" s="1"/>
  <c r="D2" i="9"/>
  <c r="C32" i="9"/>
  <c r="B32" i="9"/>
  <c r="D12" i="4" s="1"/>
  <c r="B99" i="5"/>
  <c r="D6" i="9" l="1"/>
  <c r="D4" i="9"/>
  <c r="D7" i="9"/>
  <c r="D5" i="9"/>
  <c r="AA91" i="9"/>
  <c r="D32" i="9"/>
  <c r="E2" i="9"/>
  <c r="J103" i="2"/>
  <c r="N103" i="2" s="1"/>
  <c r="J102" i="2"/>
  <c r="J101" i="2"/>
  <c r="L100" i="2"/>
  <c r="K100" i="2"/>
  <c r="BA89" i="5"/>
  <c r="BA87" i="5"/>
  <c r="E7" i="9" l="1"/>
  <c r="E6" i="9"/>
  <c r="E5" i="9"/>
  <c r="E4" i="9"/>
  <c r="E32" i="9" s="1"/>
  <c r="AB91" i="9"/>
  <c r="F2" i="9"/>
  <c r="B83" i="4"/>
  <c r="B81" i="4"/>
  <c r="B75" i="4"/>
  <c r="B73" i="4"/>
  <c r="B71" i="4"/>
  <c r="F7" i="9" l="1"/>
  <c r="D102" i="5" s="1"/>
  <c r="F6" i="9"/>
  <c r="D100" i="5" s="1"/>
  <c r="F5" i="9"/>
  <c r="F4" i="9"/>
  <c r="AC91" i="9"/>
  <c r="G2" i="9"/>
  <c r="D99" i="5"/>
  <c r="BB76" i="5"/>
  <c r="BC76" i="5" s="1"/>
  <c r="BD76" i="5" s="1"/>
  <c r="BE76" i="5" s="1"/>
  <c r="BF76" i="5" s="1"/>
  <c r="BG76" i="5" s="1"/>
  <c r="BH76" i="5" s="1"/>
  <c r="BI76" i="5" s="1"/>
  <c r="BJ76" i="5" s="1"/>
  <c r="BK76" i="5" s="1"/>
  <c r="BL76" i="5" s="1"/>
  <c r="BM76" i="5" s="1"/>
  <c r="BN76" i="5" s="1"/>
  <c r="BO76" i="5" s="1"/>
  <c r="BP76" i="5" s="1"/>
  <c r="BQ76" i="5" s="1"/>
  <c r="BR76" i="5" s="1"/>
  <c r="BS76" i="5" s="1"/>
  <c r="BT76" i="5" s="1"/>
  <c r="BU76" i="5" s="1"/>
  <c r="BV76" i="5" s="1"/>
  <c r="BW76" i="5" s="1"/>
  <c r="BX76" i="5" s="1"/>
  <c r="BY76" i="5" s="1"/>
  <c r="BZ76" i="5" s="1"/>
  <c r="CA76" i="5" s="1"/>
  <c r="CB76" i="5" s="1"/>
  <c r="CC76" i="5" s="1"/>
  <c r="CD76" i="5" s="1"/>
  <c r="CE76" i="5" s="1"/>
  <c r="CF76" i="5" s="1"/>
  <c r="CG76" i="5" s="1"/>
  <c r="CH76" i="5" s="1"/>
  <c r="CI76" i="5" s="1"/>
  <c r="CJ76" i="5" s="1"/>
  <c r="CK76" i="5" s="1"/>
  <c r="CL76" i="5" s="1"/>
  <c r="CM76" i="5" s="1"/>
  <c r="BA76" i="5"/>
  <c r="BB68" i="5"/>
  <c r="BC68" i="5" s="1"/>
  <c r="BD68" i="5" s="1"/>
  <c r="BE68" i="5" s="1"/>
  <c r="BF68" i="5" s="1"/>
  <c r="BG68" i="5" s="1"/>
  <c r="BH68" i="5" s="1"/>
  <c r="BI68" i="5" s="1"/>
  <c r="BJ68" i="5" s="1"/>
  <c r="BK68" i="5" s="1"/>
  <c r="BL68" i="5" s="1"/>
  <c r="BM68" i="5" s="1"/>
  <c r="BN68" i="5" s="1"/>
  <c r="BO68" i="5" s="1"/>
  <c r="BP68" i="5" s="1"/>
  <c r="BQ68" i="5" s="1"/>
  <c r="BR68" i="5" s="1"/>
  <c r="BS68" i="5" s="1"/>
  <c r="BT68" i="5" s="1"/>
  <c r="BU68" i="5" s="1"/>
  <c r="BV68" i="5" s="1"/>
  <c r="BW68" i="5" s="1"/>
  <c r="BX68" i="5" s="1"/>
  <c r="BY68" i="5" s="1"/>
  <c r="BZ68" i="5" s="1"/>
  <c r="CA68" i="5" s="1"/>
  <c r="CB68" i="5" s="1"/>
  <c r="CC68" i="5" s="1"/>
  <c r="CD68" i="5" s="1"/>
  <c r="CE68" i="5" s="1"/>
  <c r="CF68" i="5" s="1"/>
  <c r="CG68" i="5" s="1"/>
  <c r="CH68" i="5" s="1"/>
  <c r="CI68" i="5" s="1"/>
  <c r="CJ68" i="5" s="1"/>
  <c r="CK68" i="5" s="1"/>
  <c r="CL68" i="5" s="1"/>
  <c r="CM68" i="5" s="1"/>
  <c r="BA68" i="5"/>
  <c r="BB54" i="5"/>
  <c r="BC54" i="5" s="1"/>
  <c r="BD54" i="5" s="1"/>
  <c r="BE54" i="5" s="1"/>
  <c r="BF54" i="5" s="1"/>
  <c r="BG54" i="5" s="1"/>
  <c r="BH54" i="5" s="1"/>
  <c r="BI54" i="5" s="1"/>
  <c r="BJ54" i="5" s="1"/>
  <c r="BK54" i="5" s="1"/>
  <c r="BL54" i="5" s="1"/>
  <c r="BM54" i="5" s="1"/>
  <c r="BN54" i="5" s="1"/>
  <c r="BO54" i="5" s="1"/>
  <c r="BP54" i="5" s="1"/>
  <c r="BQ54" i="5" s="1"/>
  <c r="BR54" i="5" s="1"/>
  <c r="BS54" i="5" s="1"/>
  <c r="BT54" i="5" s="1"/>
  <c r="BU54" i="5" s="1"/>
  <c r="BV54" i="5" s="1"/>
  <c r="BW54" i="5" s="1"/>
  <c r="BX54" i="5" s="1"/>
  <c r="BY54" i="5" s="1"/>
  <c r="BZ54" i="5" s="1"/>
  <c r="CA54" i="5" s="1"/>
  <c r="CB54" i="5" s="1"/>
  <c r="CC54" i="5" s="1"/>
  <c r="CD54" i="5" s="1"/>
  <c r="CE54" i="5" s="1"/>
  <c r="CF54" i="5" s="1"/>
  <c r="CG54" i="5" s="1"/>
  <c r="CH54" i="5" s="1"/>
  <c r="CI54" i="5" s="1"/>
  <c r="CJ54" i="5" s="1"/>
  <c r="CK54" i="5" s="1"/>
  <c r="CL54" i="5" s="1"/>
  <c r="CM54" i="5" s="1"/>
  <c r="BA54" i="5"/>
  <c r="BB47" i="5"/>
  <c r="BC47" i="5" s="1"/>
  <c r="BD47" i="5" s="1"/>
  <c r="BE47" i="5" s="1"/>
  <c r="BF47" i="5" s="1"/>
  <c r="BG47" i="5" s="1"/>
  <c r="BH47" i="5" s="1"/>
  <c r="BI47" i="5" s="1"/>
  <c r="BJ47" i="5" s="1"/>
  <c r="BK47" i="5" s="1"/>
  <c r="BL47" i="5" s="1"/>
  <c r="BM47" i="5" s="1"/>
  <c r="BN47" i="5" s="1"/>
  <c r="BO47" i="5" s="1"/>
  <c r="BP47" i="5" s="1"/>
  <c r="BQ47" i="5" s="1"/>
  <c r="BR47" i="5" s="1"/>
  <c r="BS47" i="5" s="1"/>
  <c r="BT47" i="5" s="1"/>
  <c r="BU47" i="5" s="1"/>
  <c r="BV47" i="5" s="1"/>
  <c r="BW47" i="5" s="1"/>
  <c r="BX47" i="5" s="1"/>
  <c r="BY47" i="5" s="1"/>
  <c r="BZ47" i="5" s="1"/>
  <c r="CA47" i="5" s="1"/>
  <c r="CB47" i="5" s="1"/>
  <c r="CC47" i="5" s="1"/>
  <c r="CD47" i="5" s="1"/>
  <c r="CE47" i="5" s="1"/>
  <c r="CF47" i="5" s="1"/>
  <c r="CG47" i="5" s="1"/>
  <c r="CH47" i="5" s="1"/>
  <c r="CI47" i="5" s="1"/>
  <c r="CJ47" i="5" s="1"/>
  <c r="CK47" i="5" s="1"/>
  <c r="CL47" i="5" s="1"/>
  <c r="CM47" i="5" s="1"/>
  <c r="BA47" i="5"/>
  <c r="BB41" i="5"/>
  <c r="BC41" i="5" s="1"/>
  <c r="BD41" i="5" s="1"/>
  <c r="BE41" i="5" s="1"/>
  <c r="BF41" i="5" s="1"/>
  <c r="BG41" i="5" s="1"/>
  <c r="BH41" i="5" s="1"/>
  <c r="BI41" i="5" s="1"/>
  <c r="BJ41" i="5" s="1"/>
  <c r="BK41" i="5" s="1"/>
  <c r="BL41" i="5" s="1"/>
  <c r="BM41" i="5" s="1"/>
  <c r="BN41" i="5" s="1"/>
  <c r="BO41" i="5" s="1"/>
  <c r="BP41" i="5" s="1"/>
  <c r="BQ41" i="5" s="1"/>
  <c r="BR41" i="5" s="1"/>
  <c r="BS41" i="5" s="1"/>
  <c r="BT41" i="5" s="1"/>
  <c r="BU41" i="5" s="1"/>
  <c r="BV41" i="5" s="1"/>
  <c r="BW41" i="5" s="1"/>
  <c r="BX41" i="5" s="1"/>
  <c r="BY41" i="5" s="1"/>
  <c r="BZ41" i="5" s="1"/>
  <c r="CA41" i="5" s="1"/>
  <c r="CB41" i="5" s="1"/>
  <c r="CC41" i="5" s="1"/>
  <c r="CD41" i="5" s="1"/>
  <c r="CE41" i="5" s="1"/>
  <c r="CF41" i="5" s="1"/>
  <c r="CG41" i="5" s="1"/>
  <c r="CH41" i="5" s="1"/>
  <c r="CI41" i="5" s="1"/>
  <c r="CJ41" i="5" s="1"/>
  <c r="CK41" i="5" s="1"/>
  <c r="CL41" i="5" s="1"/>
  <c r="CM41" i="5" s="1"/>
  <c r="BA41" i="5"/>
  <c r="BA35" i="5"/>
  <c r="BB35" i="5"/>
  <c r="BB89" i="5"/>
  <c r="BC89" i="5" s="1"/>
  <c r="BD89" i="5" s="1"/>
  <c r="BE89" i="5" s="1"/>
  <c r="BF89" i="5" s="1"/>
  <c r="BG89" i="5" s="1"/>
  <c r="BH89" i="5" s="1"/>
  <c r="BI89" i="5" s="1"/>
  <c r="BJ89" i="5" s="1"/>
  <c r="BK89" i="5" s="1"/>
  <c r="BL89" i="5" s="1"/>
  <c r="BM89" i="5" s="1"/>
  <c r="BN89" i="5" s="1"/>
  <c r="BO89" i="5" s="1"/>
  <c r="BP89" i="5" s="1"/>
  <c r="BQ89" i="5" s="1"/>
  <c r="BR89" i="5" s="1"/>
  <c r="BS89" i="5" s="1"/>
  <c r="BT89" i="5" s="1"/>
  <c r="BU89" i="5" s="1"/>
  <c r="BV89" i="5" s="1"/>
  <c r="BW89" i="5" s="1"/>
  <c r="BX89" i="5" s="1"/>
  <c r="BY89" i="5" s="1"/>
  <c r="BZ89" i="5" s="1"/>
  <c r="CA89" i="5" s="1"/>
  <c r="CB89" i="5" s="1"/>
  <c r="CC89" i="5" s="1"/>
  <c r="CD89" i="5" s="1"/>
  <c r="CE89" i="5" s="1"/>
  <c r="CF89" i="5" s="1"/>
  <c r="CG89" i="5" s="1"/>
  <c r="CH89" i="5" s="1"/>
  <c r="CI89" i="5" s="1"/>
  <c r="CJ89" i="5" s="1"/>
  <c r="CK89" i="5" s="1"/>
  <c r="CL89" i="5" s="1"/>
  <c r="BB87" i="5"/>
  <c r="BC87" i="5" s="1"/>
  <c r="BD87" i="5" s="1"/>
  <c r="BE87" i="5" s="1"/>
  <c r="BF87" i="5" s="1"/>
  <c r="BG87" i="5" s="1"/>
  <c r="BH87" i="5" s="1"/>
  <c r="BI87" i="5" s="1"/>
  <c r="BJ87" i="5" s="1"/>
  <c r="BK87" i="5" s="1"/>
  <c r="BL87" i="5" s="1"/>
  <c r="BM87" i="5" s="1"/>
  <c r="BN87" i="5" s="1"/>
  <c r="BO87" i="5" s="1"/>
  <c r="BP87" i="5" s="1"/>
  <c r="BQ87" i="5" s="1"/>
  <c r="BR87" i="5" s="1"/>
  <c r="BS87" i="5" s="1"/>
  <c r="BT87" i="5" s="1"/>
  <c r="BU87" i="5" s="1"/>
  <c r="BV87" i="5" s="1"/>
  <c r="BW87" i="5" s="1"/>
  <c r="BX87" i="5" s="1"/>
  <c r="BY87" i="5" s="1"/>
  <c r="BZ87" i="5" s="1"/>
  <c r="CA87" i="5" s="1"/>
  <c r="CB87" i="5" s="1"/>
  <c r="CC87" i="5" s="1"/>
  <c r="CD87" i="5" s="1"/>
  <c r="CE87" i="5" s="1"/>
  <c r="CF87" i="5" s="1"/>
  <c r="CG87" i="5" s="1"/>
  <c r="CH87" i="5" s="1"/>
  <c r="CI87" i="5" s="1"/>
  <c r="CJ87" i="5" s="1"/>
  <c r="CK87" i="5" s="1"/>
  <c r="CL87" i="5" s="1"/>
  <c r="BC35" i="5"/>
  <c r="BD35" i="5" s="1"/>
  <c r="BE35" i="5" s="1"/>
  <c r="BF35" i="5" s="1"/>
  <c r="BG35" i="5" s="1"/>
  <c r="BH35" i="5" s="1"/>
  <c r="BI35" i="5" s="1"/>
  <c r="BJ35" i="5" s="1"/>
  <c r="BK35" i="5" s="1"/>
  <c r="BL35" i="5" s="1"/>
  <c r="BM35" i="5" s="1"/>
  <c r="BN35" i="5" s="1"/>
  <c r="BO35" i="5" s="1"/>
  <c r="BP35" i="5" s="1"/>
  <c r="BQ35" i="5" s="1"/>
  <c r="BR35" i="5" s="1"/>
  <c r="BS35" i="5" s="1"/>
  <c r="BT35" i="5" s="1"/>
  <c r="BU35" i="5" s="1"/>
  <c r="BV35" i="5" s="1"/>
  <c r="BW35" i="5" s="1"/>
  <c r="BX35" i="5" s="1"/>
  <c r="BY35" i="5" s="1"/>
  <c r="BZ35" i="5" s="1"/>
  <c r="CA35" i="5" s="1"/>
  <c r="CB35" i="5" s="1"/>
  <c r="CC35" i="5" s="1"/>
  <c r="CD35" i="5" s="1"/>
  <c r="CE35" i="5" s="1"/>
  <c r="CF35" i="5" s="1"/>
  <c r="CG35" i="5" s="1"/>
  <c r="CH35" i="5" s="1"/>
  <c r="CI35" i="5" s="1"/>
  <c r="CJ35" i="5" s="1"/>
  <c r="CK35" i="5" s="1"/>
  <c r="CL35" i="5" s="1"/>
  <c r="CM35" i="5" s="1"/>
  <c r="G6" i="9" l="1"/>
  <c r="G5" i="9"/>
  <c r="G4" i="9"/>
  <c r="G7" i="9"/>
  <c r="AD91" i="9"/>
  <c r="D101" i="5"/>
  <c r="F32" i="9"/>
  <c r="H2" i="9"/>
  <c r="G32" i="9"/>
  <c r="D10" i="4"/>
  <c r="C10" i="4"/>
  <c r="H6" i="9" l="1"/>
  <c r="H7" i="9"/>
  <c r="H5" i="9"/>
  <c r="H4" i="9"/>
  <c r="H32" i="9" s="1"/>
  <c r="AE91" i="9"/>
  <c r="I2" i="9"/>
  <c r="C2" i="4"/>
  <c r="E1" i="4"/>
  <c r="I7" i="9" l="1"/>
  <c r="I4" i="9"/>
  <c r="I32" i="9" s="1"/>
  <c r="I6" i="9"/>
  <c r="I5" i="9"/>
  <c r="AF91" i="9"/>
  <c r="J2" i="9"/>
  <c r="F1" i="4"/>
  <c r="F52" i="4" s="1"/>
  <c r="E48" i="4"/>
  <c r="I16" i="4"/>
  <c r="H2" i="4"/>
  <c r="F3" i="9" s="1"/>
  <c r="B5" i="2"/>
  <c r="B20" i="2"/>
  <c r="N102" i="2"/>
  <c r="K103" i="2"/>
  <c r="J104" i="2"/>
  <c r="N101" i="2"/>
  <c r="M100" i="2"/>
  <c r="D15" i="7"/>
  <c r="H15" i="7" s="1"/>
  <c r="B72" i="5" s="1"/>
  <c r="D14" i="7"/>
  <c r="D13" i="7"/>
  <c r="D12" i="7"/>
  <c r="D11" i="7"/>
  <c r="D10" i="7"/>
  <c r="D9" i="7"/>
  <c r="D8" i="7"/>
  <c r="D7" i="7"/>
  <c r="H7" i="7" s="1"/>
  <c r="D6" i="7"/>
  <c r="D5" i="7"/>
  <c r="D4" i="7"/>
  <c r="H4" i="7" s="1"/>
  <c r="B60" i="5" s="1"/>
  <c r="D3" i="7"/>
  <c r="D2" i="7"/>
  <c r="H2" i="7" s="1"/>
  <c r="B54" i="5" s="1"/>
  <c r="G94" i="5"/>
  <c r="B94" i="5" s="1"/>
  <c r="G93" i="5"/>
  <c r="B93" i="5" s="1"/>
  <c r="A25" i="5"/>
  <c r="A95" i="2"/>
  <c r="A94" i="2"/>
  <c r="A91" i="2"/>
  <c r="A90" i="2"/>
  <c r="B91" i="2" s="1"/>
  <c r="B16" i="2"/>
  <c r="B15" i="2"/>
  <c r="B14" i="2"/>
  <c r="B13" i="2"/>
  <c r="B12" i="2"/>
  <c r="B11" i="2"/>
  <c r="B7" i="2"/>
  <c r="G7" i="2" s="1"/>
  <c r="H11" i="7" l="1"/>
  <c r="J7" i="9"/>
  <c r="J5" i="9"/>
  <c r="J4" i="9"/>
  <c r="J6" i="9"/>
  <c r="H5" i="7"/>
  <c r="H9" i="7"/>
  <c r="H13" i="7"/>
  <c r="B69" i="5" s="1"/>
  <c r="AG91" i="9"/>
  <c r="H3" i="7"/>
  <c r="H6" i="7"/>
  <c r="H8" i="7"/>
  <c r="H12" i="7"/>
  <c r="B68" i="5" s="1"/>
  <c r="H10" i="7"/>
  <c r="H14" i="7"/>
  <c r="B71" i="5" s="1"/>
  <c r="K2" i="9"/>
  <c r="J32" i="9"/>
  <c r="C106" i="5"/>
  <c r="C109" i="5"/>
  <c r="C107" i="5"/>
  <c r="C108" i="5"/>
  <c r="F20" i="2"/>
  <c r="Q26" i="1"/>
  <c r="G1" i="4"/>
  <c r="G52" i="4" s="1"/>
  <c r="F50" i="4"/>
  <c r="F44" i="4"/>
  <c r="F48" i="4"/>
  <c r="F46" i="4"/>
  <c r="H16" i="4"/>
  <c r="G16" i="4" s="1"/>
  <c r="F16" i="4" s="1"/>
  <c r="E16" i="4" s="1"/>
  <c r="J16" i="4"/>
  <c r="K16" i="4" s="1"/>
  <c r="L16" i="4" s="1"/>
  <c r="M16" i="4" s="1"/>
  <c r="N16" i="4" s="1"/>
  <c r="O16" i="4" s="1"/>
  <c r="P16" i="4" s="1"/>
  <c r="Q16" i="4" s="1"/>
  <c r="R16" i="4" s="1"/>
  <c r="S16" i="4" s="1"/>
  <c r="T16" i="4" s="1"/>
  <c r="U16" i="4" s="1"/>
  <c r="V16" i="4" s="1"/>
  <c r="W16" i="4" s="1"/>
  <c r="X16" i="4" s="1"/>
  <c r="Y16" i="4" s="1"/>
  <c r="Z16" i="4" s="1"/>
  <c r="AA16" i="4" s="1"/>
  <c r="AB16" i="4" s="1"/>
  <c r="AC16" i="4" s="1"/>
  <c r="AD16" i="4" s="1"/>
  <c r="AE16" i="4" s="1"/>
  <c r="AF16" i="4" s="1"/>
  <c r="AG16" i="4" s="1"/>
  <c r="AH16" i="4" s="1"/>
  <c r="AI16" i="4" s="1"/>
  <c r="AJ16" i="4" s="1"/>
  <c r="AK16" i="4" s="1"/>
  <c r="AL16" i="4" s="1"/>
  <c r="AM16" i="4" s="1"/>
  <c r="AN16" i="4" s="1"/>
  <c r="AO16" i="4" s="1"/>
  <c r="AP16" i="4" s="1"/>
  <c r="AQ16" i="4" s="1"/>
  <c r="AR16" i="4" s="1"/>
  <c r="AS16" i="4" s="1"/>
  <c r="AT16" i="4" s="1"/>
  <c r="AU16" i="4" s="1"/>
  <c r="AV16" i="4" s="1"/>
  <c r="AW16" i="4" s="1"/>
  <c r="AX16" i="4" s="1"/>
  <c r="AY16" i="4" s="1"/>
  <c r="AZ16" i="4" s="1"/>
  <c r="BA16" i="4" s="1"/>
  <c r="BB16" i="4" s="1"/>
  <c r="BC16" i="4" s="1"/>
  <c r="BD16" i="4" s="1"/>
  <c r="BE16" i="4" s="1"/>
  <c r="BF16" i="4" s="1"/>
  <c r="BG16" i="4" s="1"/>
  <c r="BH16" i="4" s="1"/>
  <c r="BI16" i="4" s="1"/>
  <c r="BJ16" i="4" s="1"/>
  <c r="BK16" i="4" s="1"/>
  <c r="G2" i="4"/>
  <c r="E3" i="9" s="1"/>
  <c r="G13" i="2"/>
  <c r="F16" i="2"/>
  <c r="L103" i="2"/>
  <c r="M101" i="2"/>
  <c r="N100" i="2"/>
  <c r="M102" i="2"/>
  <c r="L101" i="2"/>
  <c r="B95" i="2" s="1"/>
  <c r="L102" i="2"/>
  <c r="B6" i="2"/>
  <c r="G6" i="2" s="1"/>
  <c r="K6" i="9" l="1"/>
  <c r="K5" i="9"/>
  <c r="K4" i="9"/>
  <c r="K7" i="9"/>
  <c r="AH91" i="9"/>
  <c r="L2" i="9"/>
  <c r="K32" i="9"/>
  <c r="G5" i="2"/>
  <c r="C110" i="5"/>
  <c r="H1" i="4"/>
  <c r="I1" i="4" s="1"/>
  <c r="I52" i="4" s="1"/>
  <c r="G50" i="4"/>
  <c r="F2" i="4"/>
  <c r="D3" i="9" s="1"/>
  <c r="B4" i="2"/>
  <c r="B3" i="2"/>
  <c r="B2" i="2"/>
  <c r="L78" i="1"/>
  <c r="L6" i="9" l="1"/>
  <c r="L5" i="9"/>
  <c r="L7" i="9"/>
  <c r="L4" i="9"/>
  <c r="L32" i="9" s="1"/>
  <c r="AI91" i="9"/>
  <c r="M2" i="9"/>
  <c r="C82" i="5"/>
  <c r="C37" i="5"/>
  <c r="Q25" i="1"/>
  <c r="S25" i="1" s="1"/>
  <c r="B86" i="5"/>
  <c r="C6" i="4"/>
  <c r="J1" i="4"/>
  <c r="J52" i="4" s="1"/>
  <c r="I50" i="4"/>
  <c r="I48" i="4"/>
  <c r="E2" i="4"/>
  <c r="C3" i="9" s="1"/>
  <c r="C95" i="5"/>
  <c r="B89" i="5"/>
  <c r="B87" i="5"/>
  <c r="B81" i="5"/>
  <c r="F17" i="2" s="1"/>
  <c r="C79" i="5"/>
  <c r="C76" i="5"/>
  <c r="G17" i="2" s="1"/>
  <c r="C69" i="5"/>
  <c r="C68" i="5"/>
  <c r="C60" i="5"/>
  <c r="B49" i="5"/>
  <c r="F14" i="2" s="1"/>
  <c r="C47" i="5"/>
  <c r="B42" i="5"/>
  <c r="C35" i="5"/>
  <c r="B30" i="5"/>
  <c r="B17" i="5"/>
  <c r="B15" i="5"/>
  <c r="B13" i="5"/>
  <c r="C3" i="5"/>
  <c r="C92" i="5"/>
  <c r="B88" i="5"/>
  <c r="B80" i="5"/>
  <c r="B78" i="5"/>
  <c r="C70" i="5"/>
  <c r="C61" i="5"/>
  <c r="C50" i="5"/>
  <c r="C48" i="5"/>
  <c r="B43" i="5"/>
  <c r="B41" i="5"/>
  <c r="C36" i="5"/>
  <c r="B32" i="5"/>
  <c r="B29" i="5"/>
  <c r="B28" i="5" s="1"/>
  <c r="B20" i="5"/>
  <c r="F6" i="2" s="1"/>
  <c r="D32" i="4" s="1"/>
  <c r="B16" i="5"/>
  <c r="B14" i="5"/>
  <c r="C4" i="5"/>
  <c r="C2" i="5"/>
  <c r="C54" i="5"/>
  <c r="C72" i="5"/>
  <c r="C71" i="5"/>
  <c r="C95" i="2"/>
  <c r="F5" i="2" s="1"/>
  <c r="B56" i="5"/>
  <c r="C56" i="5" s="1"/>
  <c r="B58" i="5"/>
  <c r="C58" i="5" s="1"/>
  <c r="B63" i="5"/>
  <c r="C63" i="5" s="1"/>
  <c r="B55" i="5"/>
  <c r="C55" i="5" s="1"/>
  <c r="B57" i="5"/>
  <c r="C57" i="5" s="1"/>
  <c r="B59" i="5"/>
  <c r="C59" i="5" s="1"/>
  <c r="B62" i="5"/>
  <c r="C62" i="5" s="1"/>
  <c r="B65" i="5"/>
  <c r="M7" i="9" l="1"/>
  <c r="M6" i="9"/>
  <c r="M5" i="9"/>
  <c r="M4" i="9"/>
  <c r="M32" i="9" s="1"/>
  <c r="AJ91" i="9"/>
  <c r="C65" i="5"/>
  <c r="G15" i="2" s="1"/>
  <c r="F15" i="2"/>
  <c r="N2" i="9"/>
  <c r="D28" i="4"/>
  <c r="D8" i="4"/>
  <c r="E28" i="4" s="1"/>
  <c r="D6" i="4"/>
  <c r="G12" i="2"/>
  <c r="F12" i="2" s="1"/>
  <c r="F13" i="2"/>
  <c r="F7" i="2"/>
  <c r="D36" i="4" s="1"/>
  <c r="G2" i="2"/>
  <c r="F2" i="2" s="1"/>
  <c r="K1" i="4"/>
  <c r="L1" i="4" s="1"/>
  <c r="L52" i="4" s="1"/>
  <c r="J50" i="4"/>
  <c r="D2" i="4"/>
  <c r="D4" i="4" s="1"/>
  <c r="G16" i="2"/>
  <c r="G14" i="2"/>
  <c r="N7" i="9" l="1"/>
  <c r="N4" i="9"/>
  <c r="N32" i="9" s="1"/>
  <c r="N6" i="9"/>
  <c r="N5" i="9"/>
  <c r="AK91" i="9"/>
  <c r="O2" i="9"/>
  <c r="F9" i="2"/>
  <c r="F18" i="2"/>
  <c r="D26" i="4"/>
  <c r="E8" i="4"/>
  <c r="F28" i="4" s="1"/>
  <c r="E4" i="4"/>
  <c r="E15" i="4" s="1"/>
  <c r="E12" i="4" s="1"/>
  <c r="B3" i="9"/>
  <c r="D40" i="4"/>
  <c r="M1" i="4"/>
  <c r="M52" i="4" s="1"/>
  <c r="L50" i="4"/>
  <c r="L48" i="4"/>
  <c r="D56" i="4"/>
  <c r="O6" i="9" l="1"/>
  <c r="O5" i="9"/>
  <c r="O4" i="9"/>
  <c r="O7" i="9"/>
  <c r="AL91" i="9"/>
  <c r="P2" i="9"/>
  <c r="O32" i="9"/>
  <c r="E10" i="4"/>
  <c r="E40" i="4" s="1"/>
  <c r="E14" i="4"/>
  <c r="D14" i="4"/>
  <c r="N1" i="4"/>
  <c r="M8" i="4"/>
  <c r="D18" i="4"/>
  <c r="D20" i="4" s="1"/>
  <c r="D37" i="4" s="1"/>
  <c r="E44" i="4"/>
  <c r="P6" i="9" l="1"/>
  <c r="P5" i="9"/>
  <c r="P7" i="9"/>
  <c r="P4" i="9"/>
  <c r="AM91" i="9"/>
  <c r="E6" i="4"/>
  <c r="E52" i="4" s="1"/>
  <c r="Q2" i="9"/>
  <c r="P32" i="9"/>
  <c r="E56" i="4"/>
  <c r="E18" i="4"/>
  <c r="D58" i="4"/>
  <c r="D54" i="4"/>
  <c r="O1" i="4"/>
  <c r="O52" i="4" s="1"/>
  <c r="N8" i="4"/>
  <c r="Q7" i="9" l="1"/>
  <c r="Q5" i="9"/>
  <c r="Q6" i="9"/>
  <c r="Q4" i="9"/>
  <c r="Q32" i="9" s="1"/>
  <c r="AN91" i="9"/>
  <c r="E20" i="4"/>
  <c r="E37" i="4" s="1"/>
  <c r="F4" i="4"/>
  <c r="F15" i="4" s="1"/>
  <c r="F12" i="4" s="1"/>
  <c r="E50" i="4"/>
  <c r="E42" i="4"/>
  <c r="E46" i="4"/>
  <c r="F8" i="4"/>
  <c r="G28" i="4" s="1"/>
  <c r="R2" i="9"/>
  <c r="D22" i="4"/>
  <c r="D63" i="4"/>
  <c r="P1" i="4"/>
  <c r="P52" i="4" s="1"/>
  <c r="O50" i="4"/>
  <c r="O8" i="4"/>
  <c r="R7" i="9" l="1"/>
  <c r="R6" i="9"/>
  <c r="R5" i="9"/>
  <c r="R4" i="9"/>
  <c r="R32" i="9" s="1"/>
  <c r="AO91" i="9"/>
  <c r="F10" i="4"/>
  <c r="F40" i="4" s="1"/>
  <c r="E58" i="4"/>
  <c r="E22" i="4" s="1"/>
  <c r="E54" i="4"/>
  <c r="S2" i="9"/>
  <c r="F18" i="4"/>
  <c r="F14" i="4"/>
  <c r="Q1" i="4"/>
  <c r="P8" i="4"/>
  <c r="G46" i="4"/>
  <c r="G48" i="4"/>
  <c r="S6" i="9" l="1"/>
  <c r="S5" i="9"/>
  <c r="S4" i="9"/>
  <c r="S7" i="9"/>
  <c r="F6" i="4"/>
  <c r="G8" i="4" s="1"/>
  <c r="AP91" i="9"/>
  <c r="E63" i="4"/>
  <c r="T2" i="9"/>
  <c r="S32" i="9"/>
  <c r="R1" i="4"/>
  <c r="R52" i="4" s="1"/>
  <c r="Q8" i="4"/>
  <c r="T6" i="9" l="1"/>
  <c r="T4" i="9"/>
  <c r="T7" i="9"/>
  <c r="T5" i="9"/>
  <c r="F20" i="4"/>
  <c r="F37" i="4" s="1"/>
  <c r="F42" i="4"/>
  <c r="G4" i="4"/>
  <c r="G15" i="4" s="1"/>
  <c r="G12" i="4" s="1"/>
  <c r="AQ91" i="9"/>
  <c r="U2" i="9"/>
  <c r="T32" i="9"/>
  <c r="S1" i="4"/>
  <c r="S52" i="4" s="1"/>
  <c r="R50" i="4"/>
  <c r="R46" i="4"/>
  <c r="R44" i="4"/>
  <c r="R48" i="4"/>
  <c r="R8" i="4"/>
  <c r="U7" i="9" l="1"/>
  <c r="U6" i="9"/>
  <c r="U5" i="9"/>
  <c r="U4" i="9"/>
  <c r="U32" i="9" s="1"/>
  <c r="F54" i="4"/>
  <c r="G10" i="4"/>
  <c r="G40" i="4" s="1"/>
  <c r="AR91" i="9"/>
  <c r="V2" i="9"/>
  <c r="G18" i="4"/>
  <c r="G14" i="4"/>
  <c r="G44" i="4"/>
  <c r="T1" i="4"/>
  <c r="T52" i="4" s="1"/>
  <c r="S50" i="4"/>
  <c r="S44" i="4"/>
  <c r="S46" i="4"/>
  <c r="S48" i="4"/>
  <c r="S8" i="4"/>
  <c r="H46" i="4"/>
  <c r="V7" i="9" l="1"/>
  <c r="V6" i="9"/>
  <c r="V5" i="9"/>
  <c r="V4" i="9"/>
  <c r="G6" i="4"/>
  <c r="H8" i="4" s="1"/>
  <c r="AS91" i="9"/>
  <c r="W2" i="9"/>
  <c r="V32" i="9"/>
  <c r="U1" i="4"/>
  <c r="U52" i="4" s="1"/>
  <c r="T50" i="4"/>
  <c r="T48" i="4"/>
  <c r="T46" i="4"/>
  <c r="T8" i="4"/>
  <c r="W6" i="9" l="1"/>
  <c r="W5" i="9"/>
  <c r="W4" i="9"/>
  <c r="W32" i="9" s="1"/>
  <c r="W7" i="9"/>
  <c r="G42" i="4"/>
  <c r="G20" i="4"/>
  <c r="G37" i="4" s="1"/>
  <c r="H4" i="4"/>
  <c r="H15" i="4" s="1"/>
  <c r="H12" i="4" s="1"/>
  <c r="H18" i="4" s="1"/>
  <c r="AT91" i="9"/>
  <c r="X2" i="9"/>
  <c r="V1" i="4"/>
  <c r="V52" i="4" s="1"/>
  <c r="U50" i="4"/>
  <c r="U44" i="4"/>
  <c r="U48" i="4"/>
  <c r="U46" i="4"/>
  <c r="U8" i="4"/>
  <c r="G54" i="4" l="1"/>
  <c r="X6" i="9"/>
  <c r="X7" i="9"/>
  <c r="X5" i="9"/>
  <c r="X4" i="9"/>
  <c r="X32" i="9" s="1"/>
  <c r="I2" i="4"/>
  <c r="G3" i="9" s="1"/>
  <c r="H10" i="4"/>
  <c r="H40" i="4" s="1"/>
  <c r="AU91" i="9"/>
  <c r="Y2" i="9"/>
  <c r="H14" i="4"/>
  <c r="W1" i="4"/>
  <c r="W52" i="4" s="1"/>
  <c r="V50" i="4"/>
  <c r="V44" i="4"/>
  <c r="V46" i="4"/>
  <c r="V8" i="4"/>
  <c r="V48" i="4"/>
  <c r="I46" i="4"/>
  <c r="Y7" i="9" l="1"/>
  <c r="Y4" i="9"/>
  <c r="Y6" i="9"/>
  <c r="Y5" i="9"/>
  <c r="H6" i="4"/>
  <c r="H52" i="4" s="1"/>
  <c r="AV91" i="9"/>
  <c r="Z2" i="9"/>
  <c r="Y32" i="9"/>
  <c r="X1" i="4"/>
  <c r="X52" i="4" s="1"/>
  <c r="W50" i="4"/>
  <c r="W46" i="4"/>
  <c r="W48" i="4"/>
  <c r="W8" i="4"/>
  <c r="I8" i="4" l="1"/>
  <c r="H42" i="4"/>
  <c r="H48" i="4"/>
  <c r="H50" i="4"/>
  <c r="H20" i="4"/>
  <c r="H37" i="4" s="1"/>
  <c r="H44" i="4"/>
  <c r="I4" i="4"/>
  <c r="I15" i="4" s="1"/>
  <c r="I12" i="4" s="1"/>
  <c r="I14" i="4" s="1"/>
  <c r="Z7" i="9"/>
  <c r="Z5" i="9"/>
  <c r="Z4" i="9"/>
  <c r="Z32" i="9" s="1"/>
  <c r="Z6" i="9"/>
  <c r="AW91" i="9"/>
  <c r="AA2" i="9"/>
  <c r="Y1" i="4"/>
  <c r="Y52" i="4" s="1"/>
  <c r="X50" i="4"/>
  <c r="X46" i="4"/>
  <c r="X48" i="4"/>
  <c r="X44" i="4"/>
  <c r="X8" i="4"/>
  <c r="J2" i="4" l="1"/>
  <c r="H3" i="9" s="1"/>
  <c r="I10" i="4"/>
  <c r="I40" i="4" s="1"/>
  <c r="I18" i="4"/>
  <c r="H54" i="4"/>
  <c r="AA6" i="9"/>
  <c r="AA5" i="9"/>
  <c r="AA4" i="9"/>
  <c r="AA7" i="9"/>
  <c r="AX91" i="9"/>
  <c r="AB2" i="9"/>
  <c r="AA32" i="9"/>
  <c r="Z1" i="4"/>
  <c r="Z52" i="4" s="1"/>
  <c r="Y50" i="4"/>
  <c r="Y44" i="4"/>
  <c r="Y46" i="4"/>
  <c r="Y48" i="4"/>
  <c r="Y8" i="4"/>
  <c r="J48" i="4"/>
  <c r="I6" i="4" l="1"/>
  <c r="J4" i="4" s="1"/>
  <c r="J15" i="4" s="1"/>
  <c r="J12" i="4" s="1"/>
  <c r="AB6" i="9"/>
  <c r="AB5" i="9"/>
  <c r="AB7" i="9"/>
  <c r="AB4" i="9"/>
  <c r="AB32" i="9" s="1"/>
  <c r="AY91" i="9"/>
  <c r="AC2" i="9"/>
  <c r="I44" i="4"/>
  <c r="AA1" i="4"/>
  <c r="AA52" i="4" s="1"/>
  <c r="Z50" i="4"/>
  <c r="Z46" i="4"/>
  <c r="Z48" i="4"/>
  <c r="Z8" i="4"/>
  <c r="I20" i="4" l="1"/>
  <c r="I37" i="4" s="1"/>
  <c r="I42" i="4"/>
  <c r="J8" i="4"/>
  <c r="AC7" i="9"/>
  <c r="AC6" i="9"/>
  <c r="AC5" i="9"/>
  <c r="AC4" i="9"/>
  <c r="AC32" i="9" s="1"/>
  <c r="AZ91" i="9"/>
  <c r="AD2" i="9"/>
  <c r="J14" i="4"/>
  <c r="J10" i="4"/>
  <c r="J40" i="4" s="1"/>
  <c r="K2" i="4"/>
  <c r="I3" i="9" s="1"/>
  <c r="AB1" i="4"/>
  <c r="AB52" i="4" s="1"/>
  <c r="AA50" i="4"/>
  <c r="AA46" i="4"/>
  <c r="AA44" i="4"/>
  <c r="AA48" i="4"/>
  <c r="AA8" i="4"/>
  <c r="I54" i="4" l="1"/>
  <c r="AD7" i="9"/>
  <c r="AD4" i="9"/>
  <c r="AD6" i="9"/>
  <c r="AD5" i="9"/>
  <c r="BA91" i="9"/>
  <c r="AD32" i="9"/>
  <c r="AE2" i="9"/>
  <c r="J18" i="4"/>
  <c r="J6" i="4"/>
  <c r="K4" i="4" s="1"/>
  <c r="AC1" i="4"/>
  <c r="AC52" i="4" s="1"/>
  <c r="AB50" i="4"/>
  <c r="AB48" i="4"/>
  <c r="AB46" i="4"/>
  <c r="AB44" i="4"/>
  <c r="AB8" i="4"/>
  <c r="K46" i="4"/>
  <c r="K44" i="4"/>
  <c r="AE6" i="9" l="1"/>
  <c r="AE5" i="9"/>
  <c r="AE4" i="9"/>
  <c r="AE7" i="9"/>
  <c r="BB91" i="9"/>
  <c r="AF2" i="9"/>
  <c r="AE32" i="9"/>
  <c r="J42" i="4"/>
  <c r="J44" i="4"/>
  <c r="J46" i="4"/>
  <c r="K15" i="4"/>
  <c r="K12" i="4" s="1"/>
  <c r="K8" i="4"/>
  <c r="J20" i="4"/>
  <c r="J37" i="4" s="1"/>
  <c r="AD1" i="4"/>
  <c r="AD52" i="4" s="1"/>
  <c r="AC50" i="4"/>
  <c r="AC44" i="4"/>
  <c r="AC48" i="4"/>
  <c r="AC46" i="4"/>
  <c r="AC8" i="4"/>
  <c r="AF6" i="9" l="1"/>
  <c r="AF5" i="9"/>
  <c r="AF4" i="9"/>
  <c r="AF7" i="9"/>
  <c r="BC91" i="9"/>
  <c r="AG2" i="9"/>
  <c r="AF32" i="9"/>
  <c r="K18" i="4"/>
  <c r="J54" i="4"/>
  <c r="K10" i="4"/>
  <c r="K40" i="4" s="1"/>
  <c r="L2" i="4"/>
  <c r="J3" i="9" s="1"/>
  <c r="AE1" i="4"/>
  <c r="AE52" i="4" s="1"/>
  <c r="AD50" i="4"/>
  <c r="AD46" i="4"/>
  <c r="AD44" i="4"/>
  <c r="AD8" i="4"/>
  <c r="AD48" i="4"/>
  <c r="AG7" i="9" l="1"/>
  <c r="AG5" i="9"/>
  <c r="AG6" i="9"/>
  <c r="AG4" i="9"/>
  <c r="AG32" i="9" s="1"/>
  <c r="BD91" i="9"/>
  <c r="AH2" i="9"/>
  <c r="K14" i="4"/>
  <c r="K6" i="4"/>
  <c r="K52" i="4" s="1"/>
  <c r="L46" i="4"/>
  <c r="AF1" i="4"/>
  <c r="AF52" i="4" s="1"/>
  <c r="AE50" i="4"/>
  <c r="AE44" i="4"/>
  <c r="AE48" i="4"/>
  <c r="AE46" i="4"/>
  <c r="AE8" i="4"/>
  <c r="AH7" i="9" l="1"/>
  <c r="AH5" i="9"/>
  <c r="AH4" i="9"/>
  <c r="AH6" i="9"/>
  <c r="BE91" i="9"/>
  <c r="L4" i="4"/>
  <c r="L15" i="4" s="1"/>
  <c r="L12" i="4" s="1"/>
  <c r="K42" i="4"/>
  <c r="AI2" i="9"/>
  <c r="AH32" i="9"/>
  <c r="K50" i="4"/>
  <c r="K48" i="4"/>
  <c r="L8" i="4"/>
  <c r="K20" i="4"/>
  <c r="K37" i="4" s="1"/>
  <c r="AG1" i="4"/>
  <c r="AG52" i="4" s="1"/>
  <c r="AF50" i="4"/>
  <c r="AF46" i="4"/>
  <c r="AF44" i="4"/>
  <c r="AF48" i="4"/>
  <c r="AF8" i="4"/>
  <c r="AI6" i="9" l="1"/>
  <c r="AI5" i="9"/>
  <c r="AI4" i="9"/>
  <c r="AI7" i="9"/>
  <c r="BF91" i="9"/>
  <c r="AJ2" i="9"/>
  <c r="AI32" i="9"/>
  <c r="L18" i="4"/>
  <c r="L10" i="4"/>
  <c r="L40" i="4" s="1"/>
  <c r="M2" i="4"/>
  <c r="K3" i="9" s="1"/>
  <c r="K54" i="4"/>
  <c r="AH1" i="4"/>
  <c r="AH52" i="4" s="1"/>
  <c r="AG50" i="4"/>
  <c r="AG44" i="4"/>
  <c r="AG46" i="4"/>
  <c r="AG48" i="4"/>
  <c r="AG8" i="4"/>
  <c r="AJ6" i="9" l="1"/>
  <c r="AJ7" i="9"/>
  <c r="AJ4" i="9"/>
  <c r="AJ5" i="9"/>
  <c r="BG91" i="9"/>
  <c r="AK2" i="9"/>
  <c r="AJ32" i="9"/>
  <c r="L14" i="4"/>
  <c r="L6" i="4"/>
  <c r="M50" i="4"/>
  <c r="M44" i="4"/>
  <c r="AI1" i="4"/>
  <c r="AI52" i="4" s="1"/>
  <c r="AH50" i="4"/>
  <c r="AH46" i="4"/>
  <c r="AH44" i="4"/>
  <c r="AH48" i="4"/>
  <c r="AH8" i="4"/>
  <c r="M46" i="4"/>
  <c r="M48" i="4"/>
  <c r="AK7" i="9" l="1"/>
  <c r="AK6" i="9"/>
  <c r="AK5" i="9"/>
  <c r="AK4" i="9"/>
  <c r="AK32" i="9" s="1"/>
  <c r="BH91" i="9"/>
  <c r="M4" i="4"/>
  <c r="M15" i="4" s="1"/>
  <c r="M12" i="4" s="1"/>
  <c r="L42" i="4"/>
  <c r="AL2" i="9"/>
  <c r="L44" i="4"/>
  <c r="L20" i="4"/>
  <c r="L37" i="4" s="1"/>
  <c r="AJ1" i="4"/>
  <c r="AJ52" i="4" s="1"/>
  <c r="AI50" i="4"/>
  <c r="AI46" i="4"/>
  <c r="AI44" i="4"/>
  <c r="AI48" i="4"/>
  <c r="AI8" i="4"/>
  <c r="AL7" i="9" l="1"/>
  <c r="AL6" i="9"/>
  <c r="AL5" i="9"/>
  <c r="AL4" i="9"/>
  <c r="AL32" i="9" s="1"/>
  <c r="BI91" i="9"/>
  <c r="AM2" i="9"/>
  <c r="M18" i="4"/>
  <c r="L54" i="4"/>
  <c r="M10" i="4"/>
  <c r="M40" i="4" s="1"/>
  <c r="N2" i="4"/>
  <c r="L3" i="9" s="1"/>
  <c r="M14" i="4"/>
  <c r="AK1" i="4"/>
  <c r="AK52" i="4" s="1"/>
  <c r="AJ50" i="4"/>
  <c r="AJ48" i="4"/>
  <c r="AJ46" i="4"/>
  <c r="AJ44" i="4"/>
  <c r="AJ8" i="4"/>
  <c r="AM6" i="9" l="1"/>
  <c r="AM5" i="9"/>
  <c r="AM4" i="9"/>
  <c r="AM7" i="9"/>
  <c r="BJ91" i="9"/>
  <c r="AN2" i="9"/>
  <c r="AM32" i="9"/>
  <c r="M6" i="4"/>
  <c r="AL1" i="4"/>
  <c r="AL52" i="4" s="1"/>
  <c r="AK50" i="4"/>
  <c r="AK44" i="4"/>
  <c r="AK48" i="4"/>
  <c r="AK46" i="4"/>
  <c r="AK8" i="4"/>
  <c r="N46" i="4"/>
  <c r="AN6" i="9" l="1"/>
  <c r="AN7" i="9"/>
  <c r="AN5" i="9"/>
  <c r="AN4" i="9"/>
  <c r="AN32" i="9" s="1"/>
  <c r="BK91" i="9"/>
  <c r="N4" i="4"/>
  <c r="N15" i="4" s="1"/>
  <c r="N12" i="4" s="1"/>
  <c r="M42" i="4"/>
  <c r="AO2" i="9"/>
  <c r="M20" i="4"/>
  <c r="M37" i="4" s="1"/>
  <c r="AM1" i="4"/>
  <c r="AM52" i="4" s="1"/>
  <c r="AL50" i="4"/>
  <c r="AL46" i="4"/>
  <c r="AL44" i="4"/>
  <c r="AL8" i="4"/>
  <c r="AL48" i="4"/>
  <c r="AO7" i="9" l="1"/>
  <c r="AO4" i="9"/>
  <c r="AO32" i="9" s="1"/>
  <c r="AO6" i="9"/>
  <c r="AO5" i="9"/>
  <c r="BL91" i="9"/>
  <c r="M54" i="4"/>
  <c r="AP2" i="9"/>
  <c r="N18" i="4"/>
  <c r="N10" i="4"/>
  <c r="N40" i="4" s="1"/>
  <c r="O2" i="4"/>
  <c r="M3" i="9" s="1"/>
  <c r="AN1" i="4"/>
  <c r="AN52" i="4" s="1"/>
  <c r="AM50" i="4"/>
  <c r="AM44" i="4"/>
  <c r="AM48" i="4"/>
  <c r="AM46" i="4"/>
  <c r="AM8" i="4"/>
  <c r="AP7" i="9" l="1"/>
  <c r="AP5" i="9"/>
  <c r="AP4" i="9"/>
  <c r="AP6" i="9"/>
  <c r="BM91" i="9"/>
  <c r="AQ2" i="9"/>
  <c r="AP32" i="9"/>
  <c r="N14" i="4"/>
  <c r="N6" i="4"/>
  <c r="N52" i="4" s="1"/>
  <c r="O48" i="4"/>
  <c r="O44" i="4"/>
  <c r="AO1" i="4"/>
  <c r="AO52" i="4" s="1"/>
  <c r="AN50" i="4"/>
  <c r="AN46" i="4"/>
  <c r="AN44" i="4"/>
  <c r="AN48" i="4"/>
  <c r="AN8" i="4"/>
  <c r="O46" i="4"/>
  <c r="AQ6" i="9" l="1"/>
  <c r="AQ5" i="9"/>
  <c r="AQ4" i="9"/>
  <c r="AQ7" i="9"/>
  <c r="BN91" i="9"/>
  <c r="O4" i="4"/>
  <c r="O15" i="4" s="1"/>
  <c r="O12" i="4" s="1"/>
  <c r="N42" i="4"/>
  <c r="AR2" i="9"/>
  <c r="AQ32" i="9"/>
  <c r="N50" i="4"/>
  <c r="N48" i="4"/>
  <c r="N44" i="4"/>
  <c r="N20" i="4"/>
  <c r="N37" i="4" s="1"/>
  <c r="AP1" i="4"/>
  <c r="AP52" i="4" s="1"/>
  <c r="AO50" i="4"/>
  <c r="AO44" i="4"/>
  <c r="AO46" i="4"/>
  <c r="AO48" i="4"/>
  <c r="AO8" i="4"/>
  <c r="AR7" i="9" l="1"/>
  <c r="AR6" i="9"/>
  <c r="AR5" i="9"/>
  <c r="AR4" i="9"/>
  <c r="AR32" i="9" s="1"/>
  <c r="BO91" i="9"/>
  <c r="AS2" i="9"/>
  <c r="O18" i="4"/>
  <c r="O10" i="4"/>
  <c r="O40" i="4" s="1"/>
  <c r="P2" i="4"/>
  <c r="N3" i="9" s="1"/>
  <c r="N54" i="4"/>
  <c r="AQ1" i="4"/>
  <c r="AQ52" i="4" s="1"/>
  <c r="AP50" i="4"/>
  <c r="AP46" i="4"/>
  <c r="AP44" i="4"/>
  <c r="AP48" i="4"/>
  <c r="AP8" i="4"/>
  <c r="AS7" i="9" l="1"/>
  <c r="AS6" i="9"/>
  <c r="AS5" i="9"/>
  <c r="AS4" i="9"/>
  <c r="AS32" i="9" s="1"/>
  <c r="BP91" i="9"/>
  <c r="AT2" i="9"/>
  <c r="O14" i="4"/>
  <c r="O6" i="4"/>
  <c r="P4" i="4" s="1"/>
  <c r="P44" i="4"/>
  <c r="P50" i="4"/>
  <c r="AR1" i="4"/>
  <c r="AR52" i="4" s="1"/>
  <c r="AQ50" i="4"/>
  <c r="AQ46" i="4"/>
  <c r="AQ44" i="4"/>
  <c r="AQ48" i="4"/>
  <c r="AQ8" i="4"/>
  <c r="P46" i="4"/>
  <c r="P48" i="4"/>
  <c r="AT7" i="9" l="1"/>
  <c r="AT4" i="9"/>
  <c r="AT32" i="9" s="1"/>
  <c r="AT6" i="9"/>
  <c r="AT5" i="9"/>
  <c r="BQ91" i="9"/>
  <c r="AU2" i="9"/>
  <c r="P15" i="4"/>
  <c r="P12" i="4" s="1"/>
  <c r="O42" i="4"/>
  <c r="O20" i="4"/>
  <c r="O37" i="4" s="1"/>
  <c r="AS1" i="4"/>
  <c r="AS52" i="4" s="1"/>
  <c r="AR50" i="4"/>
  <c r="AR48" i="4"/>
  <c r="AR46" i="4"/>
  <c r="AR44" i="4"/>
  <c r="AR8" i="4"/>
  <c r="AU6" i="9" l="1"/>
  <c r="AU5" i="9"/>
  <c r="AU4" i="9"/>
  <c r="AU7" i="9"/>
  <c r="BR91" i="9"/>
  <c r="AV2" i="9"/>
  <c r="AU32" i="9"/>
  <c r="P18" i="4"/>
  <c r="O54" i="4"/>
  <c r="P10" i="4"/>
  <c r="P40" i="4" s="1"/>
  <c r="Q2" i="4"/>
  <c r="O3" i="9" s="1"/>
  <c r="P14" i="4"/>
  <c r="AT1" i="4"/>
  <c r="AT52" i="4" s="1"/>
  <c r="AS50" i="4"/>
  <c r="AS44" i="4"/>
  <c r="AS48" i="4"/>
  <c r="AS46" i="4"/>
  <c r="AS8" i="4"/>
  <c r="AV5" i="9" l="1"/>
  <c r="AV4" i="9"/>
  <c r="AV32" i="9" s="1"/>
  <c r="AV7" i="9"/>
  <c r="AV6" i="9"/>
  <c r="BS91" i="9"/>
  <c r="AW2" i="9"/>
  <c r="P6" i="4"/>
  <c r="AU1" i="4"/>
  <c r="AU52" i="4" s="1"/>
  <c r="AT50" i="4"/>
  <c r="AT46" i="4"/>
  <c r="AT44" i="4"/>
  <c r="AT8" i="4"/>
  <c r="AT48" i="4"/>
  <c r="Q46" i="4"/>
  <c r="Q44" i="4"/>
  <c r="AW7" i="9" l="1"/>
  <c r="AW6" i="9"/>
  <c r="AW5" i="9"/>
  <c r="AW4" i="9"/>
  <c r="Q4" i="4"/>
  <c r="Q15" i="4" s="1"/>
  <c r="Q12" i="4" s="1"/>
  <c r="P42" i="4"/>
  <c r="AX2" i="9"/>
  <c r="AW32" i="9"/>
  <c r="P20" i="4"/>
  <c r="P37" i="4" s="1"/>
  <c r="AV1" i="4"/>
  <c r="AV52" i="4" s="1"/>
  <c r="AU50" i="4"/>
  <c r="AU44" i="4"/>
  <c r="AU48" i="4"/>
  <c r="AU46" i="4"/>
  <c r="AU8" i="4"/>
  <c r="AX7" i="9" l="1"/>
  <c r="AX6" i="9"/>
  <c r="AX5" i="9"/>
  <c r="AX4" i="9"/>
  <c r="AX32" i="9" s="1"/>
  <c r="AY2" i="9"/>
  <c r="Q18" i="4"/>
  <c r="P54" i="4"/>
  <c r="Q10" i="4"/>
  <c r="Q40" i="4" s="1"/>
  <c r="R2" i="4"/>
  <c r="P3" i="9" s="1"/>
  <c r="AW1" i="4"/>
  <c r="AW52" i="4" s="1"/>
  <c r="AV50" i="4"/>
  <c r="AV46" i="4"/>
  <c r="AV44" i="4"/>
  <c r="AV48" i="4"/>
  <c r="AV8" i="4"/>
  <c r="AY6" i="9" l="1"/>
  <c r="AY5" i="9"/>
  <c r="AY4" i="9"/>
  <c r="AY7" i="9"/>
  <c r="AZ2" i="9"/>
  <c r="AY32" i="9"/>
  <c r="Q14" i="4"/>
  <c r="Q6" i="4"/>
  <c r="Q52" i="4" s="1"/>
  <c r="AX1" i="4"/>
  <c r="AX52" i="4" s="1"/>
  <c r="AW50" i="4"/>
  <c r="AW44" i="4"/>
  <c r="AW46" i="4"/>
  <c r="AW48" i="4"/>
  <c r="AW8" i="4"/>
  <c r="AZ7" i="9" l="1"/>
  <c r="AZ4" i="9"/>
  <c r="AZ32" i="9" s="1"/>
  <c r="AZ6" i="9"/>
  <c r="AZ5" i="9"/>
  <c r="R4" i="4"/>
  <c r="R15" i="4" s="1"/>
  <c r="R12" i="4" s="1"/>
  <c r="Q42" i="4"/>
  <c r="BA2" i="9"/>
  <c r="Q50" i="4"/>
  <c r="Q48" i="4"/>
  <c r="Q20" i="4"/>
  <c r="Q37" i="4" s="1"/>
  <c r="AY1" i="4"/>
  <c r="AY52" i="4" s="1"/>
  <c r="AX50" i="4"/>
  <c r="AX46" i="4"/>
  <c r="AX44" i="4"/>
  <c r="AX48" i="4"/>
  <c r="AX8" i="4"/>
  <c r="BA7" i="9" l="1"/>
  <c r="BA5" i="9"/>
  <c r="BA4" i="9"/>
  <c r="BA32" i="9" s="1"/>
  <c r="BA6" i="9"/>
  <c r="BB2" i="9"/>
  <c r="R18" i="4"/>
  <c r="Q54" i="4"/>
  <c r="R10" i="4"/>
  <c r="R40" i="4" s="1"/>
  <c r="S2" i="4"/>
  <c r="Q3" i="9" s="1"/>
  <c r="R14" i="4"/>
  <c r="AZ1" i="4"/>
  <c r="AZ52" i="4" s="1"/>
  <c r="AY50" i="4"/>
  <c r="AY46" i="4"/>
  <c r="AY44" i="4"/>
  <c r="AY48" i="4"/>
  <c r="AY8" i="4"/>
  <c r="BB7" i="9" l="1"/>
  <c r="BB6" i="9"/>
  <c r="BB5" i="9"/>
  <c r="BB4" i="9"/>
  <c r="BB32" i="9" s="1"/>
  <c r="BC2" i="9"/>
  <c r="R6" i="4"/>
  <c r="BA1" i="4"/>
  <c r="BA52" i="4" s="1"/>
  <c r="AZ50" i="4"/>
  <c r="AZ48" i="4"/>
  <c r="AZ46" i="4"/>
  <c r="AZ44" i="4"/>
  <c r="AZ8" i="4"/>
  <c r="BC6" i="9" l="1"/>
  <c r="BC5" i="9"/>
  <c r="BC4" i="9"/>
  <c r="BC7" i="9"/>
  <c r="S4" i="4"/>
  <c r="S15" i="4" s="1"/>
  <c r="S12" i="4" s="1"/>
  <c r="R42" i="4"/>
  <c r="BD2" i="9"/>
  <c r="BC32" i="9"/>
  <c r="R20" i="4"/>
  <c r="R37" i="4" s="1"/>
  <c r="BB1" i="4"/>
  <c r="BB52" i="4" s="1"/>
  <c r="BA50" i="4"/>
  <c r="BA44" i="4"/>
  <c r="BA48" i="4"/>
  <c r="BA46" i="4"/>
  <c r="BA8" i="4"/>
  <c r="BD6" i="9" l="1"/>
  <c r="BD7" i="9"/>
  <c r="BD5" i="9"/>
  <c r="BD4" i="9"/>
  <c r="BD32" i="9" s="1"/>
  <c r="R54" i="4"/>
  <c r="BE2" i="9"/>
  <c r="S18" i="4"/>
  <c r="S10" i="4"/>
  <c r="S40" i="4" s="1"/>
  <c r="T2" i="4"/>
  <c r="R3" i="9" s="1"/>
  <c r="BC1" i="4"/>
  <c r="BC52" i="4" s="1"/>
  <c r="BB50" i="4"/>
  <c r="BB46" i="4"/>
  <c r="BB44" i="4"/>
  <c r="BB8" i="4"/>
  <c r="BB48" i="4"/>
  <c r="BE7" i="9" l="1"/>
  <c r="BE4" i="9"/>
  <c r="BE6" i="9"/>
  <c r="BE5" i="9"/>
  <c r="BF2" i="9"/>
  <c r="BE32" i="9"/>
  <c r="S14" i="4"/>
  <c r="S6" i="4"/>
  <c r="BD1" i="4"/>
  <c r="BD52" i="4" s="1"/>
  <c r="BC50" i="4"/>
  <c r="BC44" i="4"/>
  <c r="BC48" i="4"/>
  <c r="BC46" i="4"/>
  <c r="BC8" i="4"/>
  <c r="T44" i="4"/>
  <c r="BF7" i="9" l="1"/>
  <c r="BF5" i="9"/>
  <c r="BF4" i="9"/>
  <c r="BF6" i="9"/>
  <c r="T4" i="4"/>
  <c r="T15" i="4" s="1"/>
  <c r="T12" i="4" s="1"/>
  <c r="S42" i="4"/>
  <c r="BG2" i="9"/>
  <c r="BF32" i="9"/>
  <c r="S20" i="4"/>
  <c r="S37" i="4" s="1"/>
  <c r="BE1" i="4"/>
  <c r="BE52" i="4" s="1"/>
  <c r="BD50" i="4"/>
  <c r="BD46" i="4"/>
  <c r="BD44" i="4"/>
  <c r="BD48" i="4"/>
  <c r="BD8" i="4"/>
  <c r="BG6" i="9" l="1"/>
  <c r="BG5" i="9"/>
  <c r="BG4" i="9"/>
  <c r="BG32" i="9" s="1"/>
  <c r="BG7" i="9"/>
  <c r="S54" i="4"/>
  <c r="BH2" i="9"/>
  <c r="T18" i="4"/>
  <c r="T10" i="4"/>
  <c r="T40" i="4" s="1"/>
  <c r="U2" i="4"/>
  <c r="S3" i="9" s="1"/>
  <c r="BF1" i="4"/>
  <c r="BF52" i="4" s="1"/>
  <c r="BE50" i="4"/>
  <c r="BE44" i="4"/>
  <c r="BE46" i="4"/>
  <c r="BE48" i="4"/>
  <c r="BE8" i="4"/>
  <c r="BH7" i="9" l="1"/>
  <c r="BH6" i="9"/>
  <c r="BH5" i="9"/>
  <c r="BH4" i="9"/>
  <c r="BH32" i="9" s="1"/>
  <c r="BI2" i="9"/>
  <c r="T14" i="4"/>
  <c r="T6" i="4"/>
  <c r="BG1" i="4"/>
  <c r="BG52" i="4" s="1"/>
  <c r="BF50" i="4"/>
  <c r="BF44" i="4"/>
  <c r="BF48" i="4"/>
  <c r="BF46" i="4"/>
  <c r="BF8" i="4"/>
  <c r="BI7" i="9" l="1"/>
  <c r="BI6" i="9"/>
  <c r="BI5" i="9"/>
  <c r="BI4" i="9"/>
  <c r="BI32" i="9" s="1"/>
  <c r="U4" i="4"/>
  <c r="U15" i="4" s="1"/>
  <c r="U12" i="4" s="1"/>
  <c r="T42" i="4"/>
  <c r="T20" i="4"/>
  <c r="T37" i="4" s="1"/>
  <c r="BH1" i="4"/>
  <c r="BH52" i="4" s="1"/>
  <c r="BG50" i="4"/>
  <c r="BG46" i="4"/>
  <c r="BG44" i="4"/>
  <c r="BG48" i="4"/>
  <c r="BG8" i="4"/>
  <c r="T54" i="4" l="1"/>
  <c r="U18" i="4"/>
  <c r="U10" i="4"/>
  <c r="U40" i="4" s="1"/>
  <c r="V2" i="4"/>
  <c r="T3" i="9" s="1"/>
  <c r="BI1" i="4"/>
  <c r="BI52" i="4" s="1"/>
  <c r="BH50" i="4"/>
  <c r="BH48" i="4"/>
  <c r="BH44" i="4"/>
  <c r="BH46" i="4"/>
  <c r="BH8" i="4"/>
  <c r="U14" i="4" l="1"/>
  <c r="U6" i="4"/>
  <c r="BJ1" i="4"/>
  <c r="BJ52" i="4" s="1"/>
  <c r="BI50" i="4"/>
  <c r="BI44" i="4"/>
  <c r="BI48" i="4"/>
  <c r="BI46" i="4"/>
  <c r="BI8" i="4"/>
  <c r="V4" i="4" l="1"/>
  <c r="V15" i="4" s="1"/>
  <c r="V12" i="4" s="1"/>
  <c r="U42" i="4"/>
  <c r="U20" i="4"/>
  <c r="U37" i="4" s="1"/>
  <c r="BK1" i="4"/>
  <c r="BK52" i="4" s="1"/>
  <c r="BJ50" i="4"/>
  <c r="BJ44" i="4"/>
  <c r="BJ8" i="4"/>
  <c r="BJ48" i="4"/>
  <c r="BJ46" i="4"/>
  <c r="U54" i="4" l="1"/>
  <c r="V18" i="4"/>
  <c r="V10" i="4"/>
  <c r="V40" i="4" s="1"/>
  <c r="W2" i="4"/>
  <c r="U3" i="9" s="1"/>
  <c r="BK50" i="4"/>
  <c r="BK44" i="4"/>
  <c r="BK48" i="4"/>
  <c r="BK46" i="4"/>
  <c r="BK8" i="4"/>
  <c r="V14" i="4" l="1"/>
  <c r="V6" i="4"/>
  <c r="W44" i="4"/>
  <c r="W4" i="4" l="1"/>
  <c r="W15" i="4" s="1"/>
  <c r="W12" i="4" s="1"/>
  <c r="V42" i="4"/>
  <c r="V20" i="4"/>
  <c r="V37" i="4" s="1"/>
  <c r="V54" i="4" l="1"/>
  <c r="W18" i="4"/>
  <c r="W10" i="4"/>
  <c r="W40" i="4" s="1"/>
  <c r="X2" i="4"/>
  <c r="V3" i="9" s="1"/>
  <c r="W14" i="4" l="1"/>
  <c r="W6" i="4"/>
  <c r="X4" i="4" l="1"/>
  <c r="X15" i="4" s="1"/>
  <c r="X12" i="4" s="1"/>
  <c r="W42" i="4"/>
  <c r="W20" i="4"/>
  <c r="W37" i="4" s="1"/>
  <c r="W54" i="4" l="1"/>
  <c r="X18" i="4"/>
  <c r="X10" i="4"/>
  <c r="X40" i="4" s="1"/>
  <c r="Y2" i="4"/>
  <c r="W3" i="9" s="1"/>
  <c r="X14" i="4" l="1"/>
  <c r="X6" i="4"/>
  <c r="Y4" i="4" l="1"/>
  <c r="Y15" i="4" s="1"/>
  <c r="Y12" i="4" s="1"/>
  <c r="X42" i="4"/>
  <c r="X20" i="4"/>
  <c r="X37" i="4" s="1"/>
  <c r="X54" i="4" l="1"/>
  <c r="Y18" i="4"/>
  <c r="Y10" i="4"/>
  <c r="Y40" i="4" s="1"/>
  <c r="Z2" i="4"/>
  <c r="X3" i="9" s="1"/>
  <c r="Y14" i="4" l="1"/>
  <c r="Y6" i="4"/>
  <c r="Z44" i="4"/>
  <c r="Z4" i="4" l="1"/>
  <c r="Z15" i="4" s="1"/>
  <c r="Z12" i="4" s="1"/>
  <c r="Y42" i="4"/>
  <c r="Y20" i="4"/>
  <c r="Y37" i="4" s="1"/>
  <c r="Y54" i="4" l="1"/>
  <c r="Z18" i="4"/>
  <c r="Z10" i="4"/>
  <c r="Z40" i="4" s="1"/>
  <c r="AA2" i="4"/>
  <c r="Y3" i="9" s="1"/>
  <c r="Z14" i="4" l="1"/>
  <c r="Z6" i="4"/>
  <c r="AA4" i="4" l="1"/>
  <c r="AA15" i="4" s="1"/>
  <c r="AA12" i="4" s="1"/>
  <c r="Z42" i="4"/>
  <c r="Z20" i="4"/>
  <c r="Z37" i="4" s="1"/>
  <c r="Z54" i="4" l="1"/>
  <c r="AA18" i="4"/>
  <c r="AA10" i="4"/>
  <c r="AA40" i="4" s="1"/>
  <c r="AB2" i="4"/>
  <c r="Z3" i="9" s="1"/>
  <c r="AA14" i="4" l="1"/>
  <c r="AA6" i="4"/>
  <c r="AB4" i="4" l="1"/>
  <c r="AB15" i="4" s="1"/>
  <c r="AB12" i="4" s="1"/>
  <c r="AA42" i="4"/>
  <c r="AA20" i="4"/>
  <c r="AA37" i="4" s="1"/>
  <c r="AA54" i="4" l="1"/>
  <c r="AB18" i="4"/>
  <c r="AB10" i="4"/>
  <c r="AB40" i="4" s="1"/>
  <c r="AC2" i="4"/>
  <c r="AA3" i="9" s="1"/>
  <c r="AB14" i="4"/>
  <c r="AB6" i="4" l="1"/>
  <c r="AC4" i="4" l="1"/>
  <c r="AC15" i="4" s="1"/>
  <c r="AC12" i="4" s="1"/>
  <c r="AB42" i="4"/>
  <c r="AB20" i="4"/>
  <c r="AB37" i="4" s="1"/>
  <c r="AB54" i="4" l="1"/>
  <c r="AC18" i="4"/>
  <c r="AC10" i="4"/>
  <c r="AC40" i="4" s="1"/>
  <c r="AD2" i="4"/>
  <c r="AB3" i="9" s="1"/>
  <c r="AC14" i="4" l="1"/>
  <c r="AC6" i="4"/>
  <c r="AD4" i="4" l="1"/>
  <c r="AD15" i="4" s="1"/>
  <c r="AD12" i="4" s="1"/>
  <c r="AC42" i="4"/>
  <c r="AC20" i="4"/>
  <c r="AC37" i="4" s="1"/>
  <c r="AC54" i="4" l="1"/>
  <c r="AD18" i="4"/>
  <c r="AD10" i="4"/>
  <c r="AD40" i="4" s="1"/>
  <c r="AE2" i="4"/>
  <c r="AC3" i="9" s="1"/>
  <c r="AD14" i="4" l="1"/>
  <c r="AD6" i="4"/>
  <c r="AE4" i="4" l="1"/>
  <c r="AE15" i="4" s="1"/>
  <c r="AE12" i="4" s="1"/>
  <c r="AD42" i="4"/>
  <c r="AD20" i="4"/>
  <c r="AD37" i="4" s="1"/>
  <c r="AD54" i="4" l="1"/>
  <c r="AE18" i="4"/>
  <c r="AE10" i="4"/>
  <c r="AE40" i="4" s="1"/>
  <c r="AF2" i="4"/>
  <c r="AD3" i="9" s="1"/>
  <c r="AE14" i="4" l="1"/>
  <c r="AE6" i="4"/>
  <c r="AF4" i="4" l="1"/>
  <c r="AF15" i="4" s="1"/>
  <c r="AF12" i="4" s="1"/>
  <c r="AE42" i="4"/>
  <c r="AE20" i="4"/>
  <c r="AE37" i="4" s="1"/>
  <c r="AE54" i="4" l="1"/>
  <c r="AF18" i="4"/>
  <c r="AF10" i="4"/>
  <c r="AF40" i="4" s="1"/>
  <c r="AG2" i="4"/>
  <c r="AE3" i="9" s="1"/>
  <c r="AF14" i="4" l="1"/>
  <c r="AF6" i="4"/>
  <c r="AG4" i="4" l="1"/>
  <c r="AG15" i="4" s="1"/>
  <c r="AG12" i="4" s="1"/>
  <c r="AF42" i="4"/>
  <c r="AF20" i="4"/>
  <c r="AF37" i="4" s="1"/>
  <c r="AF54" i="4" l="1"/>
  <c r="AG18" i="4"/>
  <c r="AG10" i="4"/>
  <c r="AG40" i="4" s="1"/>
  <c r="AH2" i="4"/>
  <c r="AF3" i="9" s="1"/>
  <c r="AG14" i="4" l="1"/>
  <c r="AG6" i="4"/>
  <c r="AH4" i="4" l="1"/>
  <c r="AH15" i="4" s="1"/>
  <c r="AH12" i="4" s="1"/>
  <c r="AG42" i="4"/>
  <c r="AG20" i="4"/>
  <c r="AG37" i="4" s="1"/>
  <c r="AG54" i="4" l="1"/>
  <c r="AH18" i="4"/>
  <c r="AH10" i="4"/>
  <c r="AH40" i="4" s="1"/>
  <c r="AI2" i="4"/>
  <c r="AG3" i="9" s="1"/>
  <c r="AH14" i="4" l="1"/>
  <c r="AH6" i="4"/>
  <c r="AI4" i="4" l="1"/>
  <c r="AI15" i="4" s="1"/>
  <c r="AI12" i="4" s="1"/>
  <c r="AH42" i="4"/>
  <c r="AH20" i="4"/>
  <c r="AH37" i="4" s="1"/>
  <c r="AH54" i="4" l="1"/>
  <c r="AI18" i="4"/>
  <c r="AI10" i="4"/>
  <c r="AI40" i="4" s="1"/>
  <c r="AJ2" i="4"/>
  <c r="AH3" i="9" s="1"/>
  <c r="AI14" i="4" l="1"/>
  <c r="AI6" i="4"/>
  <c r="AJ4" i="4" l="1"/>
  <c r="AJ15" i="4" s="1"/>
  <c r="AJ12" i="4" s="1"/>
  <c r="AI42" i="4"/>
  <c r="AI20" i="4"/>
  <c r="AI37" i="4" s="1"/>
  <c r="AI54" i="4" l="1"/>
  <c r="AJ18" i="4"/>
  <c r="AJ10" i="4"/>
  <c r="AJ40" i="4" s="1"/>
  <c r="AK2" i="4"/>
  <c r="AI3" i="9" s="1"/>
  <c r="AJ14" i="4" l="1"/>
  <c r="AJ6" i="4"/>
  <c r="AK4" i="4" l="1"/>
  <c r="AK15" i="4" s="1"/>
  <c r="AK12" i="4" s="1"/>
  <c r="AJ42" i="4"/>
  <c r="AJ20" i="4"/>
  <c r="AJ37" i="4" s="1"/>
  <c r="AJ54" i="4" l="1"/>
  <c r="AK18" i="4"/>
  <c r="AK10" i="4"/>
  <c r="AK40" i="4" s="1"/>
  <c r="AL2" i="4"/>
  <c r="AJ3" i="9" s="1"/>
  <c r="AK14" i="4" l="1"/>
  <c r="AK6" i="4"/>
  <c r="AL4" i="4" l="1"/>
  <c r="AL15" i="4" s="1"/>
  <c r="AL12" i="4" s="1"/>
  <c r="AK42" i="4"/>
  <c r="AK20" i="4"/>
  <c r="AK37" i="4" s="1"/>
  <c r="AK54" i="4" l="1"/>
  <c r="AL18" i="4"/>
  <c r="AL10" i="4"/>
  <c r="AL40" i="4" s="1"/>
  <c r="AM2" i="4"/>
  <c r="AK3" i="9" s="1"/>
  <c r="AL14" i="4" l="1"/>
  <c r="AL6" i="4"/>
  <c r="AM4" i="4" l="1"/>
  <c r="AM15" i="4" s="1"/>
  <c r="AM12" i="4" s="1"/>
  <c r="AL42" i="4"/>
  <c r="AL20" i="4"/>
  <c r="AL37" i="4" s="1"/>
  <c r="AL54" i="4" l="1"/>
  <c r="AM18" i="4"/>
  <c r="AM10" i="4"/>
  <c r="AM40" i="4" s="1"/>
  <c r="AN2" i="4"/>
  <c r="AL3" i="9" s="1"/>
  <c r="AM14" i="4" l="1"/>
  <c r="AM6" i="4"/>
  <c r="AN4" i="4" l="1"/>
  <c r="AN15" i="4" s="1"/>
  <c r="AN12" i="4" s="1"/>
  <c r="AM42" i="4"/>
  <c r="AM20" i="4"/>
  <c r="AM37" i="4" s="1"/>
  <c r="AM54" i="4" l="1"/>
  <c r="AN18" i="4"/>
  <c r="AN10" i="4"/>
  <c r="AN40" i="4" s="1"/>
  <c r="AO2" i="4"/>
  <c r="AM3" i="9" s="1"/>
  <c r="AN14" i="4" l="1"/>
  <c r="AN6" i="4"/>
  <c r="AO4" i="4" l="1"/>
  <c r="AO15" i="4" s="1"/>
  <c r="AO12" i="4" s="1"/>
  <c r="AN42" i="4"/>
  <c r="AN20" i="4"/>
  <c r="AN37" i="4" s="1"/>
  <c r="AN54" i="4" l="1"/>
  <c r="AO18" i="4"/>
  <c r="AO10" i="4"/>
  <c r="AO40" i="4" s="1"/>
  <c r="AP2" i="4"/>
  <c r="AN3" i="9" s="1"/>
  <c r="AO14" i="4" l="1"/>
  <c r="AO6" i="4"/>
  <c r="AP4" i="4" l="1"/>
  <c r="AP15" i="4" s="1"/>
  <c r="AP12" i="4" s="1"/>
  <c r="AO42" i="4"/>
  <c r="AO20" i="4"/>
  <c r="AO37" i="4" s="1"/>
  <c r="AO54" i="4" l="1"/>
  <c r="AP18" i="4"/>
  <c r="AP10" i="4"/>
  <c r="AP40" i="4" s="1"/>
  <c r="AQ2" i="4"/>
  <c r="AO3" i="9" s="1"/>
  <c r="AP14" i="4" l="1"/>
  <c r="AP6" i="4"/>
  <c r="AQ4" i="4" l="1"/>
  <c r="AQ15" i="4" s="1"/>
  <c r="AQ12" i="4" s="1"/>
  <c r="AP42" i="4"/>
  <c r="AP20" i="4"/>
  <c r="AP37" i="4" s="1"/>
  <c r="AP54" i="4" l="1"/>
  <c r="AQ18" i="4"/>
  <c r="AQ10" i="4"/>
  <c r="AQ40" i="4" s="1"/>
  <c r="AR2" i="4"/>
  <c r="AP3" i="9" s="1"/>
  <c r="AQ14" i="4" l="1"/>
  <c r="AQ6" i="4"/>
  <c r="AR4" i="4" l="1"/>
  <c r="AR15" i="4" s="1"/>
  <c r="AR12" i="4" s="1"/>
  <c r="AQ42" i="4"/>
  <c r="AQ20" i="4"/>
  <c r="AQ37" i="4" s="1"/>
  <c r="AQ54" i="4" l="1"/>
  <c r="AR18" i="4"/>
  <c r="AR10" i="4"/>
  <c r="AR40" i="4" s="1"/>
  <c r="AS2" i="4"/>
  <c r="AQ3" i="9" s="1"/>
  <c r="AR14" i="4" l="1"/>
  <c r="AR6" i="4"/>
  <c r="AS4" i="4" l="1"/>
  <c r="AS15" i="4" s="1"/>
  <c r="AS12" i="4" s="1"/>
  <c r="AR42" i="4"/>
  <c r="AR20" i="4"/>
  <c r="AR37" i="4" s="1"/>
  <c r="AR54" i="4" l="1"/>
  <c r="AS18" i="4"/>
  <c r="AS10" i="4"/>
  <c r="AS40" i="4" s="1"/>
  <c r="AT2" i="4"/>
  <c r="AR3" i="9" s="1"/>
  <c r="AS14" i="4" l="1"/>
  <c r="AS6" i="4"/>
  <c r="AT4" i="4" l="1"/>
  <c r="AT15" i="4" s="1"/>
  <c r="AT12" i="4" s="1"/>
  <c r="AS42" i="4"/>
  <c r="AS20" i="4"/>
  <c r="AS37" i="4" s="1"/>
  <c r="AS54" i="4" l="1"/>
  <c r="AT18" i="4"/>
  <c r="AT10" i="4"/>
  <c r="AT40" i="4" s="1"/>
  <c r="AU2" i="4"/>
  <c r="AS3" i="9" s="1"/>
  <c r="AT14" i="4" l="1"/>
  <c r="AT6" i="4"/>
  <c r="AU4" i="4" l="1"/>
  <c r="AU15" i="4" s="1"/>
  <c r="AU12" i="4" s="1"/>
  <c r="AT42" i="4"/>
  <c r="AT20" i="4"/>
  <c r="AT37" i="4" s="1"/>
  <c r="AT54" i="4" l="1"/>
  <c r="AU18" i="4"/>
  <c r="AU10" i="4"/>
  <c r="AU40" i="4" s="1"/>
  <c r="AV2" i="4"/>
  <c r="AT3" i="9" s="1"/>
  <c r="AU14" i="4" l="1"/>
  <c r="AU6" i="4"/>
  <c r="AV4" i="4" l="1"/>
  <c r="AV15" i="4" s="1"/>
  <c r="AV12" i="4" s="1"/>
  <c r="AU42" i="4"/>
  <c r="AU20" i="4"/>
  <c r="AU37" i="4" s="1"/>
  <c r="AU54" i="4" l="1"/>
  <c r="AV18" i="4"/>
  <c r="AV10" i="4"/>
  <c r="AV40" i="4" s="1"/>
  <c r="AW2" i="4"/>
  <c r="AU3" i="9" s="1"/>
  <c r="AV14" i="4" l="1"/>
  <c r="AV6" i="4"/>
  <c r="AW4" i="4" l="1"/>
  <c r="AW15" i="4" s="1"/>
  <c r="AW12" i="4" s="1"/>
  <c r="AV42" i="4"/>
  <c r="AV20" i="4"/>
  <c r="AV37" i="4" s="1"/>
  <c r="AV54" i="4" l="1"/>
  <c r="AW18" i="4"/>
  <c r="AW10" i="4"/>
  <c r="AW40" i="4" s="1"/>
  <c r="AX2" i="4"/>
  <c r="AV3" i="9" s="1"/>
  <c r="AW14" i="4" l="1"/>
  <c r="AW6" i="4"/>
  <c r="AX4" i="4" l="1"/>
  <c r="AX15" i="4" s="1"/>
  <c r="AX12" i="4" s="1"/>
  <c r="AW42" i="4"/>
  <c r="AW20" i="4"/>
  <c r="AW37" i="4" s="1"/>
  <c r="AW54" i="4" l="1"/>
  <c r="AX18" i="4"/>
  <c r="AX10" i="4"/>
  <c r="AX40" i="4" s="1"/>
  <c r="AY2" i="4"/>
  <c r="AW3" i="9" s="1"/>
  <c r="AX14" i="4" l="1"/>
  <c r="AX6" i="4"/>
  <c r="AY4" i="4" l="1"/>
  <c r="AY15" i="4" s="1"/>
  <c r="AY12" i="4" s="1"/>
  <c r="AX42" i="4"/>
  <c r="AX20" i="4"/>
  <c r="AX37" i="4" s="1"/>
  <c r="AX54" i="4" l="1"/>
  <c r="AY18" i="4"/>
  <c r="AY10" i="4"/>
  <c r="AY40" i="4" s="1"/>
  <c r="AZ2" i="4"/>
  <c r="AX3" i="9" s="1"/>
  <c r="AY14" i="4" l="1"/>
  <c r="AY6" i="4"/>
  <c r="AZ4" i="4" l="1"/>
  <c r="AZ15" i="4" s="1"/>
  <c r="AZ12" i="4" s="1"/>
  <c r="AY42" i="4"/>
  <c r="AY20" i="4"/>
  <c r="AY37" i="4" s="1"/>
  <c r="AY54" i="4" l="1"/>
  <c r="AZ18" i="4"/>
  <c r="AZ10" i="4"/>
  <c r="AZ40" i="4" s="1"/>
  <c r="BA2" i="4"/>
  <c r="AY3" i="9" s="1"/>
  <c r="AZ14" i="4" l="1"/>
  <c r="AZ6" i="4"/>
  <c r="BA4" i="4" l="1"/>
  <c r="BA15" i="4" s="1"/>
  <c r="BA12" i="4" s="1"/>
  <c r="AZ42" i="4"/>
  <c r="AZ20" i="4"/>
  <c r="AZ37" i="4" s="1"/>
  <c r="AZ54" i="4" l="1"/>
  <c r="BA18" i="4"/>
  <c r="BA10" i="4"/>
  <c r="BA40" i="4" s="1"/>
  <c r="BB2" i="4"/>
  <c r="AZ3" i="9" s="1"/>
  <c r="BA14" i="4" l="1"/>
  <c r="BA6" i="4"/>
  <c r="BB4" i="4" l="1"/>
  <c r="BB15" i="4" s="1"/>
  <c r="BB12" i="4" s="1"/>
  <c r="BA42" i="4"/>
  <c r="BA20" i="4"/>
  <c r="BA37" i="4" s="1"/>
  <c r="BA54" i="4" l="1"/>
  <c r="BB18" i="4"/>
  <c r="BB10" i="4"/>
  <c r="BB40" i="4" s="1"/>
  <c r="BC2" i="4"/>
  <c r="BA3" i="9" s="1"/>
  <c r="BB14" i="4" l="1"/>
  <c r="BB6" i="4"/>
  <c r="BC4" i="4" l="1"/>
  <c r="BC15" i="4" s="1"/>
  <c r="BC12" i="4" s="1"/>
  <c r="BB42" i="4"/>
  <c r="BB20" i="4"/>
  <c r="BB37" i="4" s="1"/>
  <c r="BB54" i="4" l="1"/>
  <c r="BC18" i="4"/>
  <c r="BC10" i="4"/>
  <c r="BC40" i="4" s="1"/>
  <c r="BD2" i="4"/>
  <c r="BB3" i="9" s="1"/>
  <c r="BC14" i="4" l="1"/>
  <c r="BC6" i="4"/>
  <c r="BD4" i="4" l="1"/>
  <c r="BD15" i="4" s="1"/>
  <c r="BD12" i="4" s="1"/>
  <c r="BC42" i="4"/>
  <c r="BC20" i="4"/>
  <c r="BC37" i="4" s="1"/>
  <c r="BC54" i="4" l="1"/>
  <c r="BD18" i="4"/>
  <c r="BD10" i="4"/>
  <c r="BD40" i="4" s="1"/>
  <c r="BE2" i="4"/>
  <c r="BC3" i="9" s="1"/>
  <c r="BD14" i="4" l="1"/>
  <c r="BD6" i="4"/>
  <c r="BE4" i="4" l="1"/>
  <c r="BE15" i="4" s="1"/>
  <c r="BE12" i="4" s="1"/>
  <c r="BD42" i="4"/>
  <c r="BD20" i="4"/>
  <c r="BD37" i="4" s="1"/>
  <c r="BD54" i="4" l="1"/>
  <c r="BE18" i="4"/>
  <c r="BE10" i="4"/>
  <c r="BE40" i="4" s="1"/>
  <c r="BF2" i="4"/>
  <c r="BD3" i="9" s="1"/>
  <c r="BE14" i="4" l="1"/>
  <c r="BE6" i="4"/>
  <c r="BF4" i="4" l="1"/>
  <c r="BF15" i="4" s="1"/>
  <c r="BF12" i="4" s="1"/>
  <c r="BE42" i="4"/>
  <c r="BE20" i="4"/>
  <c r="BE37" i="4" s="1"/>
  <c r="BE54" i="4" l="1"/>
  <c r="BF18" i="4"/>
  <c r="BF10" i="4"/>
  <c r="BF40" i="4" s="1"/>
  <c r="BG2" i="4"/>
  <c r="BE3" i="9" s="1"/>
  <c r="BF14" i="4" l="1"/>
  <c r="BF6" i="4"/>
  <c r="BG4" i="4" l="1"/>
  <c r="BG15" i="4" s="1"/>
  <c r="BG12" i="4" s="1"/>
  <c r="BF42" i="4"/>
  <c r="BF20" i="4"/>
  <c r="BF37" i="4" s="1"/>
  <c r="BF54" i="4" l="1"/>
  <c r="BG18" i="4"/>
  <c r="BG10" i="4"/>
  <c r="BG40" i="4" s="1"/>
  <c r="BH2" i="4"/>
  <c r="BF3" i="9" s="1"/>
  <c r="BG14" i="4" l="1"/>
  <c r="BG6" i="4"/>
  <c r="BH4" i="4" l="1"/>
  <c r="BH15" i="4" s="1"/>
  <c r="BH12" i="4" s="1"/>
  <c r="BG42" i="4"/>
  <c r="BG20" i="4"/>
  <c r="BG37" i="4" s="1"/>
  <c r="BG54" i="4" l="1"/>
  <c r="BH18" i="4"/>
  <c r="BH10" i="4"/>
  <c r="BH40" i="4" s="1"/>
  <c r="BI2" i="4"/>
  <c r="BG3" i="9" s="1"/>
  <c r="BH14" i="4" l="1"/>
  <c r="BH6" i="4"/>
  <c r="BI4" i="4" l="1"/>
  <c r="BI15" i="4" s="1"/>
  <c r="BI12" i="4" s="1"/>
  <c r="BH42" i="4"/>
  <c r="BH20" i="4"/>
  <c r="BH37" i="4" s="1"/>
  <c r="BH54" i="4" l="1"/>
  <c r="BI18" i="4"/>
  <c r="BI10" i="4"/>
  <c r="BI40" i="4" s="1"/>
  <c r="BJ2" i="4"/>
  <c r="BH3" i="9" s="1"/>
  <c r="BI14" i="4" l="1"/>
  <c r="BI6" i="4"/>
  <c r="BJ4" i="4" l="1"/>
  <c r="BJ15" i="4" s="1"/>
  <c r="BJ12" i="4" s="1"/>
  <c r="BI42" i="4"/>
  <c r="BI20" i="4"/>
  <c r="BI37" i="4" s="1"/>
  <c r="BI54" i="4" l="1"/>
  <c r="BJ18" i="4"/>
  <c r="BJ10" i="4"/>
  <c r="BJ40" i="4" s="1"/>
  <c r="BK2" i="4"/>
  <c r="BI3" i="9" s="1"/>
  <c r="BJ14" i="4" l="1"/>
  <c r="BJ6" i="4"/>
  <c r="BK4" i="4" l="1"/>
  <c r="BK15" i="4" s="1"/>
  <c r="BK12" i="4" s="1"/>
  <c r="BJ42" i="4"/>
  <c r="BJ20" i="4"/>
  <c r="BJ37" i="4" s="1"/>
  <c r="BJ54" i="4" l="1"/>
  <c r="BK18" i="4"/>
  <c r="BK10" i="4"/>
  <c r="BK40" i="4" s="1"/>
  <c r="BK14" i="4" l="1"/>
  <c r="BK6" i="4"/>
  <c r="BK42" i="4" s="1"/>
  <c r="BK20" i="4" l="1"/>
  <c r="BK37" i="4" s="1"/>
  <c r="BK54" i="4" s="1"/>
  <c r="C94" i="5" l="1"/>
  <c r="C93" i="5" l="1"/>
  <c r="F56" i="4" l="1"/>
  <c r="F58" i="4" s="1"/>
  <c r="Y56" i="4"/>
  <c r="Y58" i="4" s="1"/>
  <c r="AP56" i="4"/>
  <c r="AP58" i="4" s="1"/>
  <c r="AO56" i="4"/>
  <c r="AO58" i="4" s="1"/>
  <c r="BH56" i="4"/>
  <c r="BH58" i="4" s="1"/>
  <c r="V56" i="4"/>
  <c r="V58" i="4" s="1"/>
  <c r="BG56" i="4"/>
  <c r="BG58" i="4" s="1"/>
  <c r="X56" i="4"/>
  <c r="X58" i="4" s="1"/>
  <c r="AW56" i="4"/>
  <c r="AW58" i="4" s="1"/>
  <c r="R56" i="4"/>
  <c r="R58" i="4" s="1"/>
  <c r="P56" i="4"/>
  <c r="P58" i="4" s="1"/>
  <c r="AN56" i="4"/>
  <c r="AN58" i="4" s="1"/>
  <c r="BK56" i="4"/>
  <c r="BK58" i="4" s="1"/>
  <c r="AG56" i="4"/>
  <c r="AG58" i="4" s="1"/>
  <c r="AD56" i="4"/>
  <c r="AD58" i="4" s="1"/>
  <c r="AT56" i="4"/>
  <c r="AT58" i="4" s="1"/>
  <c r="AX56" i="4"/>
  <c r="AX58" i="4" s="1"/>
  <c r="J56" i="4"/>
  <c r="J58" i="4" s="1"/>
  <c r="Z56" i="4"/>
  <c r="Z58" i="4" s="1"/>
  <c r="AZ56" i="4"/>
  <c r="AZ58" i="4" s="1"/>
  <c r="T56" i="4"/>
  <c r="T58" i="4" s="1"/>
  <c r="AA56" i="4"/>
  <c r="AA58" i="4" s="1"/>
  <c r="BC56" i="4"/>
  <c r="BC58" i="4" s="1"/>
  <c r="H56" i="4"/>
  <c r="H58" i="4" s="1"/>
  <c r="AC56" i="4"/>
  <c r="AC58" i="4" s="1"/>
  <c r="AF56" i="4"/>
  <c r="AF58" i="4" s="1"/>
  <c r="AY56" i="4"/>
  <c r="AY58" i="4" s="1"/>
  <c r="BD56" i="4"/>
  <c r="BD58" i="4" s="1"/>
  <c r="AQ56" i="4"/>
  <c r="AQ58" i="4" s="1"/>
  <c r="U56" i="4"/>
  <c r="U58" i="4" s="1"/>
  <c r="Q56" i="4"/>
  <c r="Q58" i="4" s="1"/>
  <c r="AM56" i="4"/>
  <c r="AM58" i="4" s="1"/>
  <c r="AV56" i="4"/>
  <c r="AV58" i="4" s="1"/>
  <c r="AS56" i="4"/>
  <c r="AS58" i="4" s="1"/>
  <c r="BE56" i="4"/>
  <c r="BE58" i="4" s="1"/>
  <c r="S56" i="4"/>
  <c r="S58" i="4" s="1"/>
  <c r="AH56" i="4"/>
  <c r="AH58" i="4" s="1"/>
  <c r="AE56" i="4"/>
  <c r="AE58" i="4" s="1"/>
  <c r="BF56" i="4"/>
  <c r="BF58" i="4" s="1"/>
  <c r="BA56" i="4"/>
  <c r="BA58" i="4" s="1"/>
  <c r="AK56" i="4"/>
  <c r="AK58" i="4" s="1"/>
  <c r="AU56" i="4"/>
  <c r="AU58" i="4" s="1"/>
  <c r="BJ56" i="4"/>
  <c r="BJ58" i="4" s="1"/>
  <c r="BI56" i="4"/>
  <c r="BI58" i="4" s="1"/>
  <c r="AB56" i="4"/>
  <c r="AB58" i="4" s="1"/>
  <c r="I56" i="4"/>
  <c r="I58" i="4" s="1"/>
  <c r="AR56" i="4"/>
  <c r="AR58" i="4" s="1"/>
  <c r="L56" i="4"/>
  <c r="L58" i="4" s="1"/>
  <c r="G56" i="4"/>
  <c r="G58" i="4" s="1"/>
  <c r="AI56" i="4"/>
  <c r="AI58" i="4" s="1"/>
  <c r="M56" i="4"/>
  <c r="M58" i="4" s="1"/>
  <c r="O56" i="4"/>
  <c r="O58" i="4" s="1"/>
  <c r="AJ56" i="4"/>
  <c r="AJ58" i="4" s="1"/>
  <c r="AL56" i="4"/>
  <c r="AL58" i="4" s="1"/>
  <c r="K56" i="4"/>
  <c r="K58" i="4" s="1"/>
  <c r="N56" i="4"/>
  <c r="N58" i="4" s="1"/>
  <c r="BB56" i="4"/>
  <c r="BB58" i="4" s="1"/>
  <c r="W56" i="4"/>
  <c r="W58" i="4" s="1"/>
  <c r="K22" i="4" l="1"/>
  <c r="K63" i="4"/>
  <c r="M22" i="4"/>
  <c r="M63" i="4"/>
  <c r="G22" i="4"/>
  <c r="G63" i="4"/>
  <c r="AR22" i="4"/>
  <c r="AR63" i="4"/>
  <c r="AB22" i="4"/>
  <c r="AB63" i="4"/>
  <c r="BJ22" i="4"/>
  <c r="BJ63" i="4"/>
  <c r="AK22" i="4"/>
  <c r="AK63" i="4"/>
  <c r="BF22" i="4"/>
  <c r="BF63" i="4"/>
  <c r="AH22" i="4"/>
  <c r="AH63" i="4"/>
  <c r="BE22" i="4"/>
  <c r="BE63" i="4"/>
  <c r="AV22" i="4"/>
  <c r="AV63" i="4"/>
  <c r="Q22" i="4"/>
  <c r="Q63" i="4"/>
  <c r="AQ22" i="4"/>
  <c r="AQ63" i="4"/>
  <c r="AY22" i="4"/>
  <c r="AY63" i="4"/>
  <c r="AC22" i="4"/>
  <c r="AC63" i="4"/>
  <c r="BC22" i="4"/>
  <c r="BC63" i="4"/>
  <c r="T22" i="4"/>
  <c r="T63" i="4"/>
  <c r="Z22" i="4"/>
  <c r="Z63" i="4"/>
  <c r="AX22" i="4"/>
  <c r="AX63" i="4"/>
  <c r="AD22" i="4"/>
  <c r="AD63" i="4"/>
  <c r="BK22" i="4"/>
  <c r="BK63" i="4"/>
  <c r="P22" i="4"/>
  <c r="P63" i="4"/>
  <c r="AW22" i="4"/>
  <c r="AW63" i="4"/>
  <c r="BG22" i="4"/>
  <c r="BG63" i="4"/>
  <c r="BH22" i="4"/>
  <c r="BH63" i="4"/>
  <c r="AP22" i="4"/>
  <c r="AP63" i="4"/>
  <c r="F22" i="4"/>
  <c r="F63" i="4"/>
  <c r="BB22" i="4"/>
  <c r="BB63" i="4"/>
  <c r="AJ22" i="4"/>
  <c r="AJ63" i="4"/>
  <c r="W22" i="4"/>
  <c r="W63" i="4"/>
  <c r="N22" i="4"/>
  <c r="N63" i="4"/>
  <c r="AL22" i="4"/>
  <c r="AL63" i="4"/>
  <c r="O22" i="4"/>
  <c r="O63" i="4"/>
  <c r="AI22" i="4"/>
  <c r="AI63" i="4"/>
  <c r="L22" i="4"/>
  <c r="L63" i="4"/>
  <c r="I22" i="4"/>
  <c r="I63" i="4"/>
  <c r="BI22" i="4"/>
  <c r="BI63" i="4"/>
  <c r="AU22" i="4"/>
  <c r="AU63" i="4"/>
  <c r="BA22" i="4"/>
  <c r="BA63" i="4"/>
  <c r="AE22" i="4"/>
  <c r="AE63" i="4"/>
  <c r="S22" i="4"/>
  <c r="S63" i="4"/>
  <c r="AS22" i="4"/>
  <c r="AS63" i="4"/>
  <c r="AM22" i="4"/>
  <c r="AM63" i="4"/>
  <c r="U22" i="4"/>
  <c r="U63" i="4"/>
  <c r="BD22" i="4"/>
  <c r="BD63" i="4"/>
  <c r="AF22" i="4"/>
  <c r="AF63" i="4"/>
  <c r="H22" i="4"/>
  <c r="H63" i="4"/>
  <c r="AA22" i="4"/>
  <c r="AA63" i="4"/>
  <c r="AZ22" i="4"/>
  <c r="AZ63" i="4"/>
  <c r="J22" i="4"/>
  <c r="J63" i="4"/>
  <c r="AT22" i="4"/>
  <c r="AT63" i="4"/>
  <c r="AG22" i="4"/>
  <c r="AG63" i="4"/>
  <c r="AN22" i="4"/>
  <c r="AN63" i="4"/>
  <c r="R22" i="4"/>
  <c r="R63" i="4"/>
  <c r="X22" i="4"/>
  <c r="X63" i="4"/>
  <c r="V22" i="4"/>
  <c r="V63" i="4"/>
  <c r="AO22" i="4"/>
  <c r="AO63" i="4"/>
  <c r="Y22" i="4"/>
  <c r="Y63" i="4"/>
  <c r="P94" i="5"/>
  <c r="BA94" i="5" s="1"/>
  <c r="S94" i="5" l="1"/>
  <c r="AE61" i="4"/>
  <c r="F38" i="4"/>
  <c r="T38" i="4"/>
  <c r="U38" i="4"/>
  <c r="AC38" i="4"/>
  <c r="BA61" i="4"/>
  <c r="BH38" i="4"/>
  <c r="BG38" i="4"/>
  <c r="BK61" i="4"/>
  <c r="Z61" i="4"/>
  <c r="AK38" i="4"/>
  <c r="I61" i="4"/>
  <c r="X38" i="4"/>
  <c r="BE38" i="4"/>
  <c r="E38" i="4"/>
  <c r="E61" i="4"/>
  <c r="G61" i="4" l="1"/>
  <c r="G65" i="4" s="1"/>
  <c r="H61" i="4"/>
  <c r="H65" i="4" s="1"/>
  <c r="AD61" i="4"/>
  <c r="AD65" i="4" s="1"/>
  <c r="AE65" i="4"/>
  <c r="BJ61" i="4"/>
  <c r="BJ65" i="4" s="1"/>
  <c r="AH38" i="4"/>
  <c r="AL38" i="4"/>
  <c r="X61" i="4"/>
  <c r="J38" i="4"/>
  <c r="F61" i="4"/>
  <c r="O61" i="4"/>
  <c r="AE38" i="4"/>
  <c r="L61" i="4"/>
  <c r="L65" i="4" s="1"/>
  <c r="AU38" i="4"/>
  <c r="BD61" i="4"/>
  <c r="BD65" i="4" s="1"/>
  <c r="AG38" i="4"/>
  <c r="S61" i="4"/>
  <c r="S65" i="4" s="1"/>
  <c r="AY38" i="4"/>
  <c r="AC61" i="4"/>
  <c r="BA38" i="4"/>
  <c r="AA38" i="4"/>
  <c r="BC38" i="4"/>
  <c r="AV38" i="4"/>
  <c r="BA65" i="4"/>
  <c r="AX61" i="4"/>
  <c r="AX65" i="4" s="1"/>
  <c r="M61" i="4"/>
  <c r="M65" i="4" s="1"/>
  <c r="AO38" i="4"/>
  <c r="W38" i="4"/>
  <c r="BG61" i="4"/>
  <c r="AP61" i="4"/>
  <c r="AP65" i="4" s="1"/>
  <c r="AQ61" i="4"/>
  <c r="AQ65" i="4" s="1"/>
  <c r="BK38" i="4"/>
  <c r="T61" i="4"/>
  <c r="U61" i="4"/>
  <c r="U65" i="4" s="1"/>
  <c r="BF61" i="4"/>
  <c r="BF65" i="4" s="1"/>
  <c r="AW61" i="4"/>
  <c r="I65" i="4"/>
  <c r="AR38" i="4"/>
  <c r="BH61" i="4"/>
  <c r="I38" i="4"/>
  <c r="AN38" i="4"/>
  <c r="R38" i="4"/>
  <c r="Z38" i="4"/>
  <c r="AF38" i="4"/>
  <c r="AK61" i="4"/>
  <c r="AS61" i="4"/>
  <c r="AS65" i="4" s="1"/>
  <c r="Y38" i="4"/>
  <c r="Z65" i="4"/>
  <c r="BK65" i="4"/>
  <c r="AI61" i="4"/>
  <c r="AI65" i="4" s="1"/>
  <c r="BE61" i="4"/>
  <c r="V61" i="4"/>
  <c r="V65" i="4" s="1"/>
  <c r="D61" i="4"/>
  <c r="AD38" i="4"/>
  <c r="Q38" i="4"/>
  <c r="Q61" i="4"/>
  <c r="K61" i="4"/>
  <c r="K38" i="4"/>
  <c r="BI38" i="4"/>
  <c r="BI61" i="4"/>
  <c r="AT38" i="4"/>
  <c r="AT61" i="4"/>
  <c r="N38" i="4"/>
  <c r="N61" i="4"/>
  <c r="BB38" i="4"/>
  <c r="BB61" i="4"/>
  <c r="E65" i="4"/>
  <c r="P38" i="4"/>
  <c r="P61" i="4"/>
  <c r="AM38" i="4"/>
  <c r="AM61" i="4"/>
  <c r="AB38" i="4"/>
  <c r="AB61" i="4"/>
  <c r="AB65" i="4" s="1"/>
  <c r="AZ61" i="4"/>
  <c r="AZ38" i="4"/>
  <c r="AJ38" i="4"/>
  <c r="AJ61" i="4"/>
  <c r="AJ65" i="4" s="1"/>
  <c r="AK65" i="4" l="1"/>
  <c r="AM65" i="4"/>
  <c r="G38" i="4"/>
  <c r="O38" i="4"/>
  <c r="AA61" i="4"/>
  <c r="AA65" i="4" s="1"/>
  <c r="AY61" i="4"/>
  <c r="AY65" i="4" s="1"/>
  <c r="BD38" i="4"/>
  <c r="P65" i="4"/>
  <c r="H38" i="4"/>
  <c r="N65" i="4"/>
  <c r="J61" i="4"/>
  <c r="J65" i="4" s="1"/>
  <c r="BJ38" i="4"/>
  <c r="AV61" i="4"/>
  <c r="AV65" i="4" s="1"/>
  <c r="AL61" i="4"/>
  <c r="AL65" i="4" s="1"/>
  <c r="AC65" i="4"/>
  <c r="BH65" i="4"/>
  <c r="S38" i="4"/>
  <c r="Q65" i="4"/>
  <c r="AU61" i="4"/>
  <c r="AU65" i="4" s="1"/>
  <c r="W61" i="4"/>
  <c r="W65" i="4" s="1"/>
  <c r="AH61" i="4"/>
  <c r="AH65" i="4" s="1"/>
  <c r="AG61" i="4"/>
  <c r="AG65" i="4" s="1"/>
  <c r="O65" i="4"/>
  <c r="M38" i="4"/>
  <c r="BF38" i="4"/>
  <c r="BG65" i="4"/>
  <c r="F65" i="4"/>
  <c r="X65" i="4"/>
  <c r="BC61" i="4"/>
  <c r="BC65" i="4" s="1"/>
  <c r="AO61" i="4"/>
  <c r="AO65" i="4" s="1"/>
  <c r="L38" i="4"/>
  <c r="AX38" i="4"/>
  <c r="AN61" i="4"/>
  <c r="AN65" i="4" s="1"/>
  <c r="P93" i="5"/>
  <c r="BA93" i="5" s="1"/>
  <c r="D38" i="4"/>
  <c r="AQ38" i="4"/>
  <c r="V38" i="4"/>
  <c r="AR61" i="4"/>
  <c r="AR65" i="4" s="1"/>
  <c r="AW38" i="4"/>
  <c r="AT65" i="4"/>
  <c r="BI65" i="4"/>
  <c r="AS38" i="4"/>
  <c r="AP38" i="4"/>
  <c r="T65" i="4"/>
  <c r="AF61" i="4"/>
  <c r="AF65" i="4" s="1"/>
  <c r="AI38" i="4"/>
  <c r="AZ65" i="4"/>
  <c r="R61" i="4"/>
  <c r="R65" i="4" s="1"/>
  <c r="Y61" i="4"/>
  <c r="Y65" i="4" s="1"/>
  <c r="AW65" i="4"/>
  <c r="BB65" i="4"/>
  <c r="K65" i="4"/>
  <c r="BE65" i="4"/>
  <c r="D73" i="4"/>
  <c r="Q28" i="1" s="1"/>
  <c r="S28" i="1" s="1"/>
  <c r="D65" i="4"/>
  <c r="D83" i="4" l="1"/>
  <c r="S93" i="5"/>
  <c r="D71" i="4"/>
  <c r="V67" i="4"/>
  <c r="AZ67" i="4"/>
  <c r="AQ67" i="4"/>
  <c r="AA67" i="4"/>
  <c r="I67" i="4"/>
  <c r="D67" i="4"/>
  <c r="K67" i="4"/>
  <c r="G67" i="4"/>
  <c r="AE67" i="4"/>
  <c r="X67" i="4"/>
  <c r="AS67" i="4"/>
  <c r="AB67" i="4"/>
  <c r="BE67" i="4"/>
  <c r="BA67" i="4"/>
  <c r="J67" i="4"/>
  <c r="AO67" i="4"/>
  <c r="AM67" i="4"/>
  <c r="T67" i="4"/>
  <c r="AX67" i="4"/>
  <c r="BF67" i="4"/>
  <c r="BC67" i="4"/>
  <c r="AF67" i="4"/>
  <c r="AV67" i="4"/>
  <c r="AG67" i="4"/>
  <c r="N67" i="4"/>
  <c r="AJ67" i="4"/>
  <c r="AC67" i="4"/>
  <c r="BD67" i="4"/>
  <c r="Y67" i="4"/>
  <c r="BG67" i="4"/>
  <c r="E67" i="4"/>
  <c r="BI67" i="4"/>
  <c r="Q67" i="4"/>
  <c r="AN66" i="4"/>
  <c r="AN68" i="4" s="1"/>
  <c r="AI67" i="4"/>
  <c r="U67" i="4"/>
  <c r="AY67" i="4"/>
  <c r="F67" i="4"/>
  <c r="AN67" i="4"/>
  <c r="P67" i="4"/>
  <c r="M67" i="4"/>
  <c r="BH67" i="4"/>
  <c r="AD67" i="4"/>
  <c r="Z67" i="4"/>
  <c r="AU67" i="4"/>
  <c r="W67" i="4"/>
  <c r="BJ67" i="4"/>
  <c r="BB67" i="4"/>
  <c r="AP67" i="4"/>
  <c r="L67" i="4"/>
  <c r="AK67" i="4"/>
  <c r="AW67" i="4"/>
  <c r="AH67" i="4"/>
  <c r="R67" i="4"/>
  <c r="S67" i="4"/>
  <c r="BK67" i="4"/>
  <c r="O67" i="4"/>
  <c r="AT67" i="4"/>
  <c r="AR67" i="4"/>
  <c r="H67" i="4"/>
  <c r="K66" i="4"/>
  <c r="K68" i="4" s="1"/>
  <c r="AF66" i="4"/>
  <c r="AF68" i="4" s="1"/>
  <c r="M66" i="4"/>
  <c r="M68" i="4" s="1"/>
  <c r="BK66" i="4"/>
  <c r="BK68" i="4" s="1"/>
  <c r="AY66" i="4"/>
  <c r="AY68" i="4" s="1"/>
  <c r="AG66" i="4"/>
  <c r="AG68" i="4" s="1"/>
  <c r="P66" i="4"/>
  <c r="P68" i="4" s="1"/>
  <c r="AB66" i="4"/>
  <c r="AB68" i="4" s="1"/>
  <c r="L66" i="4"/>
  <c r="L68" i="4" s="1"/>
  <c r="E66" i="4"/>
  <c r="E68" i="4" s="1"/>
  <c r="BB66" i="4"/>
  <c r="BB68" i="4" s="1"/>
  <c r="J66" i="4"/>
  <c r="J68" i="4" s="1"/>
  <c r="BE66" i="4"/>
  <c r="BE68" i="4" s="1"/>
  <c r="AX66" i="4"/>
  <c r="AX68" i="4" s="1"/>
  <c r="BH66" i="4"/>
  <c r="BH68" i="4" s="1"/>
  <c r="BJ66" i="4"/>
  <c r="BJ68" i="4" s="1"/>
  <c r="BC66" i="4"/>
  <c r="BC68" i="4" s="1"/>
  <c r="AS66" i="4"/>
  <c r="AS68" i="4" s="1"/>
  <c r="AP66" i="4"/>
  <c r="AP68" i="4" s="1"/>
  <c r="AI66" i="4"/>
  <c r="AI68" i="4" s="1"/>
  <c r="AJ66" i="4"/>
  <c r="AJ68" i="4" s="1"/>
  <c r="I66" i="4"/>
  <c r="I68" i="4" s="1"/>
  <c r="AU66" i="4"/>
  <c r="AU68" i="4" s="1"/>
  <c r="AC66" i="4"/>
  <c r="AC68" i="4" s="1"/>
  <c r="T66" i="4"/>
  <c r="T68" i="4" s="1"/>
  <c r="BI66" i="4"/>
  <c r="BI68" i="4" s="1"/>
  <c r="BF66" i="4"/>
  <c r="BF68" i="4" s="1"/>
  <c r="AA66" i="4"/>
  <c r="AA68" i="4" s="1"/>
  <c r="AO66" i="4"/>
  <c r="AO68" i="4" s="1"/>
  <c r="S66" i="4"/>
  <c r="S68" i="4" s="1"/>
  <c r="G66" i="4"/>
  <c r="G68" i="4" s="1"/>
  <c r="N66" i="4"/>
  <c r="N68" i="4" s="1"/>
  <c r="Y66" i="4"/>
  <c r="Y68" i="4" s="1"/>
  <c r="X66" i="4"/>
  <c r="X68" i="4" s="1"/>
  <c r="AH66" i="4"/>
  <c r="AH68" i="4" s="1"/>
  <c r="U66" i="4"/>
  <c r="U68" i="4" s="1"/>
  <c r="R66" i="4"/>
  <c r="R68" i="4" s="1"/>
  <c r="D77" i="4"/>
  <c r="Q30" i="1" s="1"/>
  <c r="S30" i="1" s="1"/>
  <c r="V66" i="4"/>
  <c r="V68" i="4" s="1"/>
  <c r="AQ66" i="4"/>
  <c r="AQ68" i="4" s="1"/>
  <c r="Q66" i="4"/>
  <c r="Q68" i="4" s="1"/>
  <c r="AM66" i="4"/>
  <c r="AM68" i="4" s="1"/>
  <c r="AL66" i="4"/>
  <c r="AL68" i="4" s="1"/>
  <c r="H66" i="4"/>
  <c r="H68" i="4" s="1"/>
  <c r="AK66" i="4"/>
  <c r="AK68" i="4" s="1"/>
  <c r="D66" i="4"/>
  <c r="BA66" i="4"/>
  <c r="BA68" i="4" s="1"/>
  <c r="AW66" i="4"/>
  <c r="AW68" i="4" s="1"/>
  <c r="BD66" i="4"/>
  <c r="BD68" i="4" s="1"/>
  <c r="AZ66" i="4"/>
  <c r="AZ68" i="4" s="1"/>
  <c r="AV66" i="4"/>
  <c r="AV68" i="4" s="1"/>
  <c r="AE66" i="4"/>
  <c r="AE68" i="4" s="1"/>
  <c r="AR66" i="4"/>
  <c r="AR68" i="4" s="1"/>
  <c r="AD66" i="4"/>
  <c r="AD68" i="4" s="1"/>
  <c r="F66" i="4"/>
  <c r="F68" i="4" s="1"/>
  <c r="AL67" i="4"/>
  <c r="W66" i="4"/>
  <c r="W68" i="4" s="1"/>
  <c r="Z66" i="4"/>
  <c r="Z68" i="4" s="1"/>
  <c r="AT66" i="4"/>
  <c r="AT68" i="4" s="1"/>
  <c r="O66" i="4"/>
  <c r="O68" i="4" s="1"/>
  <c r="BG66" i="4"/>
  <c r="BG68" i="4" s="1"/>
  <c r="Q27" i="1" l="1"/>
  <c r="BB93" i="5"/>
  <c r="BC93" i="5" s="1"/>
  <c r="BB94" i="5"/>
  <c r="D79" i="4"/>
  <c r="Q31" i="1" s="1"/>
  <c r="S31" i="1" s="1"/>
  <c r="D75" i="4"/>
  <c r="BI69" i="4"/>
  <c r="H69" i="4"/>
  <c r="BD69" i="4"/>
  <c r="AA69" i="4"/>
  <c r="AE69" i="4"/>
  <c r="BC69" i="4"/>
  <c r="BJ69" i="4"/>
  <c r="R69" i="4"/>
  <c r="Q69" i="4"/>
  <c r="AD69" i="4"/>
  <c r="AY69" i="4"/>
  <c r="AJ69" i="4"/>
  <c r="BK69" i="4"/>
  <c r="AL69" i="4"/>
  <c r="AS69" i="4"/>
  <c r="W69" i="4"/>
  <c r="AG69" i="4"/>
  <c r="BB69" i="4"/>
  <c r="BE69" i="4"/>
  <c r="AT69" i="4"/>
  <c r="AU69" i="4"/>
  <c r="AB69" i="4"/>
  <c r="Y69" i="4"/>
  <c r="F69" i="4"/>
  <c r="AC69" i="4"/>
  <c r="T69" i="4"/>
  <c r="AQ69" i="4"/>
  <c r="P69" i="4"/>
  <c r="S69" i="4"/>
  <c r="BG69" i="4"/>
  <c r="D69" i="4"/>
  <c r="M69" i="4"/>
  <c r="AR69" i="4"/>
  <c r="J69" i="4"/>
  <c r="AH69" i="4"/>
  <c r="AO69" i="4"/>
  <c r="V69" i="4"/>
  <c r="AP69" i="4"/>
  <c r="BH69" i="4"/>
  <c r="AW69" i="4"/>
  <c r="AK69" i="4"/>
  <c r="AX69" i="4"/>
  <c r="L69" i="4"/>
  <c r="U69" i="4"/>
  <c r="N69" i="4"/>
  <c r="AN69" i="4"/>
  <c r="AF69" i="4"/>
  <c r="O69" i="4"/>
  <c r="AI69" i="4"/>
  <c r="K69" i="4"/>
  <c r="X69" i="4"/>
  <c r="I69" i="4"/>
  <c r="E69" i="4"/>
  <c r="BA69" i="4"/>
  <c r="BF69" i="4"/>
  <c r="Z69" i="4"/>
  <c r="AZ69" i="4"/>
  <c r="AV69" i="4"/>
  <c r="D68" i="4"/>
  <c r="AM69" i="4"/>
  <c r="G69" i="4"/>
  <c r="S27" i="1" l="1"/>
  <c r="D81" i="4"/>
  <c r="Q32" i="1" s="1"/>
  <c r="S32" i="1" s="1"/>
  <c r="Q29" i="1"/>
  <c r="BD93" i="5"/>
  <c r="BE93" i="5" s="1"/>
  <c r="BF93" i="5" s="1"/>
  <c r="BG93" i="5" s="1"/>
  <c r="BH93" i="5" s="1"/>
  <c r="BI93" i="5" s="1"/>
  <c r="BJ93" i="5" s="1"/>
  <c r="BK93" i="5" s="1"/>
  <c r="BL93" i="5" s="1"/>
  <c r="BM93" i="5" s="1"/>
  <c r="BN93" i="5" s="1"/>
  <c r="BO93" i="5" s="1"/>
  <c r="BP93" i="5" s="1"/>
  <c r="BQ93" i="5" s="1"/>
  <c r="BR93" i="5" s="1"/>
  <c r="BS93" i="5" s="1"/>
  <c r="BT93" i="5" s="1"/>
  <c r="BU93" i="5" s="1"/>
  <c r="BV93" i="5" s="1"/>
  <c r="BW93" i="5" s="1"/>
  <c r="BC94" i="5"/>
  <c r="S29" i="1" l="1"/>
  <c r="M33" i="1"/>
  <c r="BD94" i="5"/>
  <c r="BE94" i="5" s="1"/>
  <c r="BF94" i="5" s="1"/>
  <c r="BG94" i="5" s="1"/>
  <c r="BH94" i="5" s="1"/>
  <c r="BI94" i="5" s="1"/>
  <c r="BJ94" i="5" s="1"/>
  <c r="BK94" i="5" s="1"/>
  <c r="BL94" i="5" s="1"/>
  <c r="BM94" i="5" s="1"/>
  <c r="BN94" i="5" s="1"/>
  <c r="BO94" i="5" s="1"/>
  <c r="BP94" i="5" s="1"/>
  <c r="BQ94" i="5" s="1"/>
  <c r="BR94" i="5" s="1"/>
  <c r="BS94" i="5" s="1"/>
  <c r="BT94" i="5" s="1"/>
  <c r="BU94" i="5" s="1"/>
  <c r="BV94" i="5" s="1"/>
  <c r="BW94"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GodseyL</author>
  </authors>
  <commentList>
    <comment ref="C20" authorId="0" shapeId="0" xr:uid="{00000000-0006-0000-0300-000001000000}">
      <text>
        <r>
          <rPr>
            <b/>
            <sz val="8"/>
            <color indexed="81"/>
            <rFont val="Tahoma"/>
            <family val="2"/>
          </rPr>
          <t>GodseyL:</t>
        </r>
        <r>
          <rPr>
            <sz val="8"/>
            <color indexed="81"/>
            <rFont val="Tahoma"/>
            <family val="2"/>
          </rPr>
          <t xml:space="preserve">
It is assumed that one-half cup equals 1 kg of ammonium nitrate.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GodseyL</author>
  </authors>
  <commentList>
    <comment ref="A3" authorId="0" shapeId="0" xr:uid="{00000000-0006-0000-0600-000001000000}">
      <text>
        <r>
          <rPr>
            <b/>
            <sz val="8"/>
            <color indexed="81"/>
            <rFont val="Tahoma"/>
            <family val="2"/>
          </rPr>
          <t>GodseyL:</t>
        </r>
        <r>
          <rPr>
            <sz val="8"/>
            <color indexed="81"/>
            <rFont val="Tahoma"/>
            <family val="2"/>
          </rPr>
          <t xml:space="preserve">
TC = Tree circumference at 15 cm above graft union</t>
        </r>
      </text>
    </comment>
  </commentList>
</comments>
</file>

<file path=xl/sharedStrings.xml><?xml version="1.0" encoding="utf-8"?>
<sst xmlns="http://schemas.openxmlformats.org/spreadsheetml/2006/main" count="385" uniqueCount="231">
  <si>
    <t xml:space="preserve">Establishment Decisions: </t>
  </si>
  <si>
    <t xml:space="preserve"> </t>
  </si>
  <si>
    <t>x</t>
  </si>
  <si>
    <t>Layout/Design:</t>
  </si>
  <si>
    <t>Layout/Design</t>
  </si>
  <si>
    <t>Hexagonal</t>
  </si>
  <si>
    <t>Diamond</t>
  </si>
  <si>
    <t>Planting Stock:</t>
  </si>
  <si>
    <t>Rectangular/Square</t>
  </si>
  <si>
    <t>Spacing (Ft):</t>
  </si>
  <si>
    <t>Planting Stock</t>
  </si>
  <si>
    <t>Seed</t>
  </si>
  <si>
    <t>Grafted Seedlings</t>
  </si>
  <si>
    <t>Site Prep</t>
  </si>
  <si>
    <t>Herbicide with Discing</t>
  </si>
  <si>
    <t>Discing only</t>
  </si>
  <si>
    <t>Fertilization:</t>
  </si>
  <si>
    <t>Seedlings (bare root)</t>
  </si>
  <si>
    <r>
      <t>Seedlings (RPM</t>
    </r>
    <r>
      <rPr>
        <sz val="11"/>
        <color theme="1"/>
        <rFont val="Calibri"/>
        <family val="2"/>
      </rPr>
      <t>™</t>
    </r>
    <r>
      <rPr>
        <sz val="11"/>
        <color theme="1"/>
        <rFont val="Calibri"/>
        <family val="2"/>
        <scheme val="minor"/>
      </rPr>
      <t>)</t>
    </r>
  </si>
  <si>
    <t>Fertilization</t>
  </si>
  <si>
    <t>Management Input'!A1</t>
  </si>
  <si>
    <t>Slow early growth (&lt; 8")</t>
  </si>
  <si>
    <t>Good early growth (&gt; 8")</t>
  </si>
  <si>
    <t>Management Decisions:</t>
  </si>
  <si>
    <t>Thinning</t>
  </si>
  <si>
    <t>Enter a % of trees removed (i.e. 50%, 33%)</t>
  </si>
  <si>
    <t>Pruning</t>
  </si>
  <si>
    <t>Disease Control</t>
  </si>
  <si>
    <t>Deer Control</t>
  </si>
  <si>
    <t>Tree Staking</t>
  </si>
  <si>
    <t>Cost per Tree</t>
  </si>
  <si>
    <t>Estimated Cost/ac</t>
  </si>
  <si>
    <t>Occurrence</t>
  </si>
  <si>
    <t>Spacing</t>
  </si>
  <si>
    <t>Initial # of Stems</t>
  </si>
  <si>
    <t># of Stems/ac</t>
  </si>
  <si>
    <t>Cost /acre</t>
  </si>
  <si>
    <t>Harvesting and Marketing Decisions:</t>
  </si>
  <si>
    <t xml:space="preserve">T-posts </t>
  </si>
  <si>
    <t>Re-Bar</t>
  </si>
  <si>
    <t>Fertilization (initial)</t>
  </si>
  <si>
    <t>Fertilization (maintenance)</t>
  </si>
  <si>
    <t>Wooden stakes</t>
  </si>
  <si>
    <t>Steel conduit pipe</t>
  </si>
  <si>
    <t>Non-bearing tree</t>
  </si>
  <si>
    <t>Bearing trees (33% N)</t>
  </si>
  <si>
    <t>Bearing trees (46% N)</t>
  </si>
  <si>
    <t>Spring prune</t>
  </si>
  <si>
    <t>Summer/Fall prune</t>
  </si>
  <si>
    <t>Weed control</t>
  </si>
  <si>
    <t>Discing</t>
  </si>
  <si>
    <t>Mowing</t>
  </si>
  <si>
    <r>
      <t xml:space="preserve">Herbicide (Roundup </t>
    </r>
    <r>
      <rPr>
        <sz val="8"/>
        <color theme="1"/>
        <rFont val="Calibri"/>
        <family val="2"/>
        <scheme val="minor"/>
      </rPr>
      <t>TM</t>
    </r>
    <r>
      <rPr>
        <sz val="11"/>
        <color theme="1"/>
        <rFont val="Calibri"/>
        <family val="2"/>
        <scheme val="minor"/>
      </rPr>
      <t>)</t>
    </r>
  </si>
  <si>
    <t xml:space="preserve">Plotsaver Ribbon </t>
  </si>
  <si>
    <t>Game Deterrent Fencing</t>
  </si>
  <si>
    <r>
      <t>Tree Guard</t>
    </r>
    <r>
      <rPr>
        <sz val="11"/>
        <color theme="1"/>
        <rFont val="Calibri"/>
        <family val="2"/>
      </rPr>
      <t>® Deer Repellent</t>
    </r>
  </si>
  <si>
    <r>
      <t>Plantskydd</t>
    </r>
    <r>
      <rPr>
        <sz val="11"/>
        <color theme="1"/>
        <rFont val="Calibri"/>
        <family val="2"/>
      </rPr>
      <t>® Repellent</t>
    </r>
  </si>
  <si>
    <t>Herbicide only (1 qt/ac.)</t>
  </si>
  <si>
    <t xml:space="preserve">No Cost </t>
  </si>
  <si>
    <t>As per model</t>
  </si>
  <si>
    <t>Asana XL</t>
  </si>
  <si>
    <t>Confirm 2F</t>
  </si>
  <si>
    <t>Lorsban 4E/Nufos 4E</t>
  </si>
  <si>
    <t>Warrior</t>
  </si>
  <si>
    <t>Imidian 70 WSB</t>
  </si>
  <si>
    <t>Sevin 80W</t>
  </si>
  <si>
    <t>Dipel ES</t>
  </si>
  <si>
    <t>Javelin WG</t>
  </si>
  <si>
    <t>Guthion 2L</t>
  </si>
  <si>
    <t>Sniper 2E</t>
  </si>
  <si>
    <t>Pest Control</t>
  </si>
  <si>
    <t>None</t>
  </si>
  <si>
    <t>Abound</t>
  </si>
  <si>
    <t>Flint</t>
  </si>
  <si>
    <t>Pristine</t>
  </si>
  <si>
    <t>Syllit</t>
  </si>
  <si>
    <t>Name</t>
  </si>
  <si>
    <t>Imidian 70WSB</t>
  </si>
  <si>
    <t>Low App Rate/ac</t>
  </si>
  <si>
    <t>Hi App Rate/ac</t>
  </si>
  <si>
    <t>Ave Rate</t>
  </si>
  <si>
    <t>unit</t>
  </si>
  <si>
    <t xml:space="preserve">cost </t>
  </si>
  <si>
    <t>cost/acre</t>
  </si>
  <si>
    <t>oz</t>
  </si>
  <si>
    <t>gal</t>
  </si>
  <si>
    <t>qt</t>
  </si>
  <si>
    <t>pt</t>
  </si>
  <si>
    <t>this is read:  Vertical/horizontal</t>
  </si>
  <si>
    <t>i.e., oz/qt = 32</t>
  </si>
  <si>
    <t>User Defined</t>
  </si>
  <si>
    <t>Spring &amp; Summer Prune</t>
  </si>
  <si>
    <t>Mats (weed)</t>
  </si>
  <si>
    <r>
      <t xml:space="preserve">Roundup </t>
    </r>
    <r>
      <rPr>
        <sz val="11"/>
        <color theme="1"/>
        <rFont val="Calibri"/>
        <family val="2"/>
      </rPr>
      <t>™</t>
    </r>
  </si>
  <si>
    <t>Tree Staking:</t>
  </si>
  <si>
    <t>Thinning:</t>
  </si>
  <si>
    <t>Site Prep:</t>
  </si>
  <si>
    <t>Pruning:</t>
  </si>
  <si>
    <t>Weed Control:</t>
  </si>
  <si>
    <t>Pest Control:</t>
  </si>
  <si>
    <t>Disease Control:</t>
  </si>
  <si>
    <t>Deer Control:</t>
  </si>
  <si>
    <t>Tube Tree Shelters</t>
  </si>
  <si>
    <t>Grafting Technique</t>
  </si>
  <si>
    <t>Not Grafted</t>
  </si>
  <si>
    <t>Nursery Grafted</t>
  </si>
  <si>
    <t>Self Grafted (Bench)</t>
  </si>
  <si>
    <t>Self Grafted (Field)</t>
  </si>
  <si>
    <t>Professionally Grafted</t>
  </si>
  <si>
    <t>Graft Technique:</t>
  </si>
  <si>
    <t>Seedling Costs</t>
  </si>
  <si>
    <t>$/Stem</t>
  </si>
  <si>
    <t>$/Acre</t>
  </si>
  <si>
    <t>Harvest Method:</t>
  </si>
  <si>
    <t>Harvest Techniques</t>
  </si>
  <si>
    <t>Hand pickup</t>
  </si>
  <si>
    <t>Mechanized (unspecified)</t>
  </si>
  <si>
    <t>Nut wizard</t>
  </si>
  <si>
    <t>PV</t>
  </si>
  <si>
    <t>N</t>
  </si>
  <si>
    <t>I</t>
  </si>
  <si>
    <t>PMT</t>
  </si>
  <si>
    <t>Graft Technique</t>
  </si>
  <si>
    <t>Cost/tree</t>
  </si>
  <si>
    <t>Establishment Costs:</t>
  </si>
  <si>
    <t>Management Costs:</t>
  </si>
  <si>
    <t>Weed Control</t>
  </si>
  <si>
    <t>Harvesting Costs:</t>
  </si>
  <si>
    <t>Harvesting Method</t>
  </si>
  <si>
    <t xml:space="preserve">Expected Rate of Return: </t>
  </si>
  <si>
    <t>enter a percentage return for this investment</t>
  </si>
  <si>
    <t>Nut Price</t>
  </si>
  <si>
    <t>per lb.</t>
  </si>
  <si>
    <t>Grafting Cost Table</t>
  </si>
  <si>
    <r>
      <t>Seedlings (RPM</t>
    </r>
    <r>
      <rPr>
        <sz val="11"/>
        <color theme="1"/>
        <rFont val="Calibri"/>
        <family val="2"/>
      </rPr>
      <t>™)</t>
    </r>
  </si>
  <si>
    <t>Cost/lb</t>
  </si>
  <si>
    <t>Site Index</t>
  </si>
  <si>
    <t>Stems per Acre</t>
  </si>
  <si>
    <t>Thinnings (# of stems removed)</t>
  </si>
  <si>
    <t>Initial Density</t>
  </si>
  <si>
    <t>Removal %</t>
  </si>
  <si>
    <t>Tree Growth Estimations</t>
  </si>
  <si>
    <t>Crown Competition Factor</t>
  </si>
  <si>
    <t>Initial Tree Height</t>
  </si>
  <si>
    <t>Growth Ratio</t>
  </si>
  <si>
    <t>Expected Growth Rate</t>
  </si>
  <si>
    <t>Mortality Loss (1st 10 years)</t>
  </si>
  <si>
    <t>Nut Revenue</t>
  </si>
  <si>
    <t>Nut Price/lb</t>
  </si>
  <si>
    <t>Nut Yield/tree</t>
  </si>
  <si>
    <t>Gross Revenue per Tree</t>
  </si>
  <si>
    <t>Gross Revenue per Acre (Potential)</t>
  </si>
  <si>
    <t>Gross Revenue per Acre (Actual)</t>
  </si>
  <si>
    <t xml:space="preserve">Planting Stock/Grafting </t>
  </si>
  <si>
    <t>Replant based on Mortality Loss</t>
  </si>
  <si>
    <t>Establishment Costs</t>
  </si>
  <si>
    <t>Fertilization (establishment)</t>
  </si>
  <si>
    <t xml:space="preserve">Fertilizer applied every </t>
  </si>
  <si>
    <t xml:space="preserve">years, until year </t>
  </si>
  <si>
    <t>Pruning conducted every</t>
  </si>
  <si>
    <t>Pest control applied every</t>
  </si>
  <si>
    <t>Weed control conducted every</t>
  </si>
  <si>
    <t>Disease control applied every</t>
  </si>
  <si>
    <t>Deer Control measures used every</t>
  </si>
  <si>
    <t>Grafting conducted every</t>
  </si>
  <si>
    <t>Field Grafting</t>
  </si>
  <si>
    <t>First Year of Application</t>
  </si>
  <si>
    <t>Management Costs</t>
  </si>
  <si>
    <t>Total Revenues</t>
  </si>
  <si>
    <t>Total Costs</t>
  </si>
  <si>
    <t>Net Revenues</t>
  </si>
  <si>
    <t>Years to Break Even</t>
  </si>
  <si>
    <t>Rate of Return (MIRR)</t>
  </si>
  <si>
    <t>Nut Yield/Acre</t>
  </si>
  <si>
    <t>Actual Revenue less Est. costs</t>
  </si>
  <si>
    <t>Potential Revenue less Est. costs</t>
  </si>
  <si>
    <t>Potential Revenue less Est. /Man. Costs</t>
  </si>
  <si>
    <t>Number of Acres:</t>
  </si>
  <si>
    <t xml:space="preserve">Harvesting starts in the </t>
  </si>
  <si>
    <t xml:space="preserve">year, until year </t>
  </si>
  <si>
    <t>Financial Results</t>
  </si>
  <si>
    <t>Initial Number of Trees/ac</t>
  </si>
  <si>
    <t xml:space="preserve">Expected Price/lb for nuts </t>
  </si>
  <si>
    <t xml:space="preserve">Chestnut Decision Support Tool </t>
  </si>
  <si>
    <t>RECOMMENDATIONS FOR CHINESE CHESTNUT MANAGEMENT</t>
  </si>
  <si>
    <r>
      <rPr>
        <b/>
        <sz val="14"/>
        <color theme="1"/>
        <rFont val="Calibri"/>
        <family val="2"/>
        <scheme val="minor"/>
      </rPr>
      <t>Site Selection</t>
    </r>
    <r>
      <rPr>
        <sz val="11"/>
        <color theme="1"/>
        <rFont val="Calibri"/>
        <family val="2"/>
        <scheme val="minor"/>
      </rPr>
      <t xml:space="preserve">
Chinese chestnut trees perform best in well-drained, loamy to sandy loam soils.  Heavy, poorly-drained soils, or soils that have a perched water table during wet seasons promote Phytophthora root rot, a devastating disease of chestnuts. Soils should be slightly acid (pH 5.5-6.5).  Most Chinese chestnuts can tolerate –20⁰ F temperatures when fully dormant, but it is strongly recommended that frost pockets be avoided as planting sites, to avoid injury to swelling buds in the spring. Site selection similar to the requirements for peaches, where summit and shoulder slopes are chosen to allow for good air drainage, would be the best choice to safeguard from winter and late spring frost injury.  Chinese chestnut trees are rather drought tolerant once established, but ample water throughout the growing season promotes good tree growth and regular nut production. Maximum chestnut yields and nut size are obtained only under optimum soil water conditions, therefore irrigation is recommended. A lack of water during mid-August will result in smaller nut size, while a lack of water in September can prevent burrs from opening normally. Micro-irrigation techniques (drip and/or micro-sprinklers) are best suited for chestnut orchards.
</t>
    </r>
  </si>
  <si>
    <r>
      <rPr>
        <b/>
        <sz val="14"/>
        <color theme="1"/>
        <rFont val="Calibri"/>
        <family val="2"/>
        <scheme val="minor"/>
      </rPr>
      <t>Orchard Design</t>
    </r>
    <r>
      <rPr>
        <sz val="11"/>
        <color theme="1"/>
        <rFont val="Calibri"/>
        <family val="2"/>
        <scheme val="minor"/>
      </rPr>
      <t xml:space="preserve">
</t>
    </r>
  </si>
  <si>
    <t>Site Quality:</t>
  </si>
  <si>
    <t>Age</t>
  </si>
  <si>
    <t>TC</t>
  </si>
  <si>
    <t>Expected Price/lb for nuts</t>
  </si>
  <si>
    <t>Good</t>
  </si>
  <si>
    <t>Average</t>
  </si>
  <si>
    <t>Fair</t>
  </si>
  <si>
    <t>Poor</t>
  </si>
  <si>
    <t>Ave TC/year</t>
  </si>
  <si>
    <t>TC @ Year 5</t>
  </si>
  <si>
    <t xml:space="preserve">Average TC per Stem </t>
  </si>
  <si>
    <t>Professionally Field Grafted</t>
  </si>
  <si>
    <t>Paddock Vac System</t>
  </si>
  <si>
    <t>Nut yield (good)</t>
  </si>
  <si>
    <t>Nut yield (Average)</t>
  </si>
  <si>
    <t>Nut yield (Fair)</t>
  </si>
  <si>
    <t>Nut yield (Poor)</t>
  </si>
  <si>
    <t>Nut Prod. @ year 5</t>
  </si>
  <si>
    <t>Cost per TC</t>
  </si>
  <si>
    <t>Harvesting Cost (Potential)</t>
  </si>
  <si>
    <t>Harvesting Cost (Actual)</t>
  </si>
  <si>
    <t>Harvesting Costs</t>
  </si>
  <si>
    <t>Irrigation system:</t>
  </si>
  <si>
    <t>Irrigation Systems</t>
  </si>
  <si>
    <t>Drip Irrigation</t>
  </si>
  <si>
    <t>Sprinkler</t>
  </si>
  <si>
    <t>Hand water</t>
  </si>
  <si>
    <t xml:space="preserve">None </t>
  </si>
  <si>
    <t xml:space="preserve">User Defined </t>
  </si>
  <si>
    <t>Cost/Ac</t>
  </si>
  <si>
    <t>Cost/Tree</t>
  </si>
  <si>
    <t>Cost /acre/year</t>
  </si>
  <si>
    <t>Irrigation</t>
  </si>
  <si>
    <t>Herbicide (Roundup TM)</t>
  </si>
  <si>
    <t>Subtotal:</t>
  </si>
  <si>
    <t xml:space="preserve">Subtotal: </t>
  </si>
  <si>
    <t>Irrigation System</t>
  </si>
  <si>
    <t xml:space="preserve">All recommendations on this page are taken directly from:  Hunt, K., M. Gold, W. Reid, and M.Warmund. 2009. Growing Chinese Chestnut in Missouri.  Agroforestry in Action, AF1007-2008, University of Missouri Center for Agroforestry.  </t>
  </si>
  <si>
    <t>Based on the information that was entered in the model, this Chestnut Orchard will have the following financial performance over a 70 year period:</t>
  </si>
  <si>
    <t>UMCA Guide to Growing Chinese Chestnuts in Missouri</t>
  </si>
  <si>
    <t>1 Acre</t>
  </si>
  <si>
    <t>acres</t>
  </si>
  <si>
    <t>Number of acres in the orchard:</t>
  </si>
  <si>
    <t>Version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</si>
</sst>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44" formatCode="_(&quot;$&quot;* #,##0.00_);_(&quot;$&quot;* \(#,##0.00\);_(&quot;$&quot;* &quot;-&quot;??_);_(@_)"/>
    <numFmt numFmtId="43" formatCode="_(* #,##0.00_);_(* \(#,##0.00\);_(* &quot;-&quot;??_);_(@_)"/>
    <numFmt numFmtId="164" formatCode="0.0"/>
    <numFmt numFmtId="165" formatCode="0.0%"/>
    <numFmt numFmtId="166" formatCode="_(* #,##0_);_(* \(#,##0\);_(* &quot;-&quot;??_);_(@_)"/>
  </numFmts>
  <fonts count="26" x14ac:knownFonts="1">
    <font>
      <sz val="11"/>
      <color theme="1"/>
      <name val="Calibri"/>
      <family val="2"/>
      <scheme val="minor"/>
    </font>
    <font>
      <sz val="24"/>
      <color theme="1"/>
      <name val="Calibri"/>
      <family val="2"/>
      <scheme val="minor"/>
    </font>
    <font>
      <sz val="14"/>
      <color theme="1"/>
      <name val="Calibri"/>
      <family val="2"/>
      <scheme val="minor"/>
    </font>
    <font>
      <u/>
      <sz val="11"/>
      <color theme="10"/>
      <name val="Calibri"/>
      <family val="2"/>
    </font>
    <font>
      <sz val="11"/>
      <color theme="1"/>
      <name val="Calibri"/>
      <family val="2"/>
    </font>
    <font>
      <b/>
      <sz val="14"/>
      <color theme="1"/>
      <name val="Calibri"/>
      <family val="2"/>
      <scheme val="minor"/>
    </font>
    <font>
      <b/>
      <sz val="11"/>
      <color theme="1"/>
      <name val="Calibri"/>
      <family val="2"/>
      <scheme val="minor"/>
    </font>
    <font>
      <b/>
      <sz val="10.5"/>
      <color theme="1"/>
      <name val="Times New Roman"/>
      <family val="1"/>
    </font>
    <font>
      <sz val="12"/>
      <color theme="1"/>
      <name val="Times New Roman"/>
      <family val="1"/>
    </font>
    <font>
      <sz val="8"/>
      <color rgb="FFC00000"/>
      <name val="Calibri"/>
      <family val="2"/>
      <scheme val="minor"/>
    </font>
    <font>
      <b/>
      <sz val="16"/>
      <color theme="1"/>
      <name val="Calibri"/>
      <family val="2"/>
      <scheme val="minor"/>
    </font>
    <font>
      <b/>
      <sz val="8"/>
      <color theme="1"/>
      <name val="Calibri"/>
      <family val="2"/>
      <scheme val="minor"/>
    </font>
    <font>
      <sz val="8"/>
      <color theme="1"/>
      <name val="Calibri"/>
      <family val="2"/>
      <scheme val="minor"/>
    </font>
    <font>
      <sz val="11"/>
      <color theme="1"/>
      <name val="Calibri"/>
      <family val="2"/>
      <scheme val="minor"/>
    </font>
    <font>
      <sz val="8"/>
      <color indexed="81"/>
      <name val="Tahoma"/>
      <family val="2"/>
    </font>
    <font>
      <b/>
      <sz val="8"/>
      <color indexed="81"/>
      <name val="Tahoma"/>
      <family val="2"/>
    </font>
    <font>
      <sz val="8"/>
      <color rgb="FFFF0000"/>
      <name val="Calibri"/>
      <family val="2"/>
      <scheme val="minor"/>
    </font>
    <font>
      <b/>
      <u/>
      <sz val="11"/>
      <name val="Verdana"/>
      <family val="2"/>
    </font>
    <font>
      <sz val="10"/>
      <color theme="1"/>
      <name val="Calibri"/>
      <family val="2"/>
      <scheme val="minor"/>
    </font>
    <font>
      <b/>
      <sz val="10"/>
      <color theme="1"/>
      <name val="Calibri"/>
      <family val="2"/>
      <scheme val="minor"/>
    </font>
    <font>
      <sz val="11"/>
      <name val="Calibri"/>
      <family val="2"/>
      <scheme val="minor"/>
    </font>
    <font>
      <sz val="11"/>
      <color rgb="FFFF0000"/>
      <name val="Calibri"/>
      <family val="2"/>
      <scheme val="minor"/>
    </font>
    <font>
      <sz val="11"/>
      <color rgb="FF00B050"/>
      <name val="Calibri"/>
      <family val="2"/>
      <scheme val="minor"/>
    </font>
    <font>
      <sz val="14"/>
      <color rgb="FF00B050"/>
      <name val="Calibri"/>
      <family val="2"/>
      <scheme val="minor"/>
    </font>
    <font>
      <sz val="11"/>
      <color rgb="FF000000"/>
      <name val="Calibri"/>
      <family val="2"/>
    </font>
    <font>
      <sz val="12"/>
      <color rgb="FFFF000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rgb="FFFFFFCC"/>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249977111117893"/>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s>
  <cellStyleXfs count="5">
    <xf numFmtId="0" fontId="0" fillId="0" borderId="0"/>
    <xf numFmtId="0" fontId="3" fillId="0" borderId="0" applyNumberFormat="0" applyFill="0" applyBorder="0" applyAlignment="0" applyProtection="0">
      <alignment vertical="top"/>
      <protection locked="0"/>
    </xf>
    <xf numFmtId="44" fontId="13" fillId="0" borderId="0" applyFont="0" applyFill="0" applyBorder="0" applyAlignment="0" applyProtection="0"/>
    <xf numFmtId="9" fontId="13" fillId="0" borderId="0" applyFont="0" applyFill="0" applyBorder="0" applyAlignment="0" applyProtection="0"/>
    <xf numFmtId="43" fontId="13" fillId="0" borderId="0" applyFont="0" applyFill="0" applyBorder="0" applyAlignment="0" applyProtection="0"/>
  </cellStyleXfs>
  <cellXfs count="207">
    <xf numFmtId="0" fontId="0" fillId="0" borderId="0" xfId="0"/>
    <xf numFmtId="0" fontId="0" fillId="2" borderId="5" xfId="0" applyFill="1" applyBorder="1"/>
    <xf numFmtId="0" fontId="0" fillId="2" borderId="6" xfId="0" applyFill="1" applyBorder="1"/>
    <xf numFmtId="0" fontId="0" fillId="2" borderId="6" xfId="0" applyFill="1" applyBorder="1" applyAlignment="1"/>
    <xf numFmtId="0" fontId="0" fillId="2" borderId="7" xfId="0" applyFill="1" applyBorder="1" applyAlignment="1"/>
    <xf numFmtId="0" fontId="0" fillId="2" borderId="1" xfId="0" applyFill="1" applyBorder="1"/>
    <xf numFmtId="0" fontId="0" fillId="3" borderId="0" xfId="0" applyFill="1"/>
    <xf numFmtId="0" fontId="0" fillId="0" borderId="1" xfId="0" applyFill="1" applyBorder="1" applyProtection="1">
      <protection locked="0"/>
    </xf>
    <xf numFmtId="0" fontId="3" fillId="3" borderId="0" xfId="1" applyFill="1" applyAlignment="1" applyProtection="1"/>
    <xf numFmtId="0" fontId="0" fillId="0" borderId="0" xfId="0" applyAlignment="1"/>
    <xf numFmtId="0" fontId="0" fillId="4" borderId="0" xfId="0" applyFill="1"/>
    <xf numFmtId="9" fontId="0" fillId="0" borderId="0" xfId="0" applyNumberFormat="1"/>
    <xf numFmtId="0" fontId="0" fillId="3" borderId="0" xfId="0" applyFill="1" applyBorder="1"/>
    <xf numFmtId="0" fontId="0" fillId="0" borderId="0" xfId="0" applyFill="1"/>
    <xf numFmtId="0" fontId="0" fillId="2" borderId="0" xfId="0" applyFill="1"/>
    <xf numFmtId="0" fontId="3" fillId="2" borderId="0" xfId="1" quotePrefix="1" applyFill="1" applyAlignment="1" applyProtection="1"/>
    <xf numFmtId="0" fontId="0" fillId="2" borderId="0" xfId="0" applyFill="1" applyBorder="1"/>
    <xf numFmtId="0" fontId="0" fillId="2" borderId="0" xfId="0" applyFill="1" applyAlignment="1"/>
    <xf numFmtId="0" fontId="0" fillId="2" borderId="0" xfId="0" applyFill="1" applyBorder="1" applyAlignment="1">
      <alignment horizontal="left" vertical="top" wrapText="1"/>
    </xf>
    <xf numFmtId="0" fontId="0" fillId="2" borderId="0" xfId="0" applyFill="1" applyBorder="1" applyAlignment="1">
      <alignment vertical="top" wrapText="1"/>
    </xf>
    <xf numFmtId="0" fontId="8" fillId="2" borderId="0" xfId="0" applyFont="1" applyFill="1" applyBorder="1" applyAlignment="1">
      <alignment horizontal="left" vertical="top" wrapText="1"/>
    </xf>
    <xf numFmtId="0" fontId="6" fillId="2" borderId="0" xfId="0" applyFont="1" applyFill="1" applyAlignment="1">
      <alignment wrapText="1"/>
    </xf>
    <xf numFmtId="0" fontId="7" fillId="2" borderId="0" xfId="0" applyFont="1" applyFill="1" applyAlignment="1">
      <alignment wrapText="1"/>
    </xf>
    <xf numFmtId="0" fontId="6" fillId="0" borderId="0" xfId="0" applyFont="1" applyAlignment="1">
      <alignment vertical="top" wrapText="1"/>
    </xf>
    <xf numFmtId="9" fontId="0" fillId="2" borderId="1" xfId="0" applyNumberFormat="1" applyFill="1" applyBorder="1"/>
    <xf numFmtId="0" fontId="0" fillId="3" borderId="0" xfId="0" applyFill="1" applyBorder="1" applyAlignment="1" applyProtection="1">
      <alignment horizontal="center"/>
    </xf>
    <xf numFmtId="0" fontId="0" fillId="3" borderId="0" xfId="0" applyFill="1" applyProtection="1"/>
    <xf numFmtId="0" fontId="0" fillId="3" borderId="0" xfId="0" applyFill="1" applyBorder="1" applyAlignment="1">
      <alignment horizontal="center"/>
    </xf>
    <xf numFmtId="0" fontId="0" fillId="3" borderId="0" xfId="0" applyFill="1" applyAlignment="1">
      <alignment horizontal="center"/>
    </xf>
    <xf numFmtId="0" fontId="0" fillId="3" borderId="0" xfId="0" applyFill="1" applyAlignment="1" applyProtection="1">
      <alignment horizontal="center"/>
    </xf>
    <xf numFmtId="44" fontId="0" fillId="0" borderId="0" xfId="2" applyFont="1"/>
    <xf numFmtId="44" fontId="0" fillId="2" borderId="0" xfId="2" applyFont="1" applyFill="1"/>
    <xf numFmtId="44" fontId="0" fillId="0" borderId="0" xfId="2" applyFont="1" applyProtection="1">
      <protection locked="0"/>
    </xf>
    <xf numFmtId="0" fontId="0" fillId="0" borderId="0" xfId="0" applyProtection="1">
      <protection locked="0"/>
    </xf>
    <xf numFmtId="44" fontId="0" fillId="5" borderId="0" xfId="2" applyFont="1" applyFill="1"/>
    <xf numFmtId="0" fontId="0" fillId="5" borderId="0" xfId="0" applyFill="1"/>
    <xf numFmtId="44" fontId="0" fillId="0" borderId="0" xfId="0" applyNumberFormat="1"/>
    <xf numFmtId="44" fontId="0" fillId="0" borderId="0" xfId="2" applyFont="1" applyFill="1"/>
    <xf numFmtId="44" fontId="0" fillId="2" borderId="0" xfId="2" applyFont="1" applyFill="1" applyProtection="1"/>
    <xf numFmtId="0" fontId="17" fillId="0" borderId="0" xfId="0" applyFont="1" applyBorder="1" applyAlignment="1">
      <alignment horizontal="center"/>
    </xf>
    <xf numFmtId="0" fontId="0" fillId="0" borderId="0" xfId="0" applyAlignment="1">
      <alignment horizontal="left"/>
    </xf>
    <xf numFmtId="44" fontId="0" fillId="3" borderId="0" xfId="2" applyFont="1" applyFill="1" applyProtection="1">
      <protection locked="0"/>
    </xf>
    <xf numFmtId="8" fontId="0" fillId="0" borderId="0" xfId="0" applyNumberFormat="1"/>
    <xf numFmtId="0" fontId="0" fillId="0" borderId="0" xfId="0" applyFill="1" applyBorder="1"/>
    <xf numFmtId="9" fontId="0" fillId="0" borderId="1" xfId="3" applyFont="1" applyFill="1" applyBorder="1" applyProtection="1">
      <protection locked="0"/>
    </xf>
    <xf numFmtId="0" fontId="0" fillId="0" borderId="0" xfId="0" applyBorder="1"/>
    <xf numFmtId="2" fontId="0" fillId="0" borderId="0" xfId="0" applyNumberFormat="1" applyBorder="1"/>
    <xf numFmtId="44" fontId="0" fillId="0" borderId="0" xfId="2" applyFont="1" applyBorder="1"/>
    <xf numFmtId="44" fontId="0" fillId="0" borderId="0" xfId="0" applyNumberFormat="1" applyBorder="1"/>
    <xf numFmtId="0" fontId="0" fillId="2" borderId="20" xfId="0" applyFill="1" applyBorder="1"/>
    <xf numFmtId="0" fontId="0" fillId="0" borderId="13" xfId="0" applyBorder="1"/>
    <xf numFmtId="0" fontId="0" fillId="0" borderId="14" xfId="0" applyBorder="1"/>
    <xf numFmtId="0" fontId="0" fillId="0" borderId="15" xfId="0" applyBorder="1"/>
    <xf numFmtId="0" fontId="0" fillId="0" borderId="16" xfId="0" applyBorder="1"/>
    <xf numFmtId="0" fontId="0" fillId="2" borderId="21" xfId="0" applyFill="1" applyBorder="1"/>
    <xf numFmtId="9" fontId="0" fillId="0" borderId="15" xfId="0" applyNumberFormat="1" applyBorder="1"/>
    <xf numFmtId="0" fontId="0" fillId="0" borderId="15" xfId="0" applyBorder="1" applyAlignment="1">
      <alignment horizontal="right"/>
    </xf>
    <xf numFmtId="0" fontId="0" fillId="0" borderId="17" xfId="0" applyBorder="1"/>
    <xf numFmtId="0" fontId="0" fillId="0" borderId="18" xfId="0" applyBorder="1"/>
    <xf numFmtId="0" fontId="0" fillId="0" borderId="19" xfId="0" applyBorder="1"/>
    <xf numFmtId="0" fontId="0" fillId="0" borderId="0" xfId="0" applyAlignment="1">
      <alignment horizontal="left"/>
    </xf>
    <xf numFmtId="0" fontId="0" fillId="0" borderId="12" xfId="0" applyBorder="1"/>
    <xf numFmtId="44" fontId="0" fillId="2" borderId="0" xfId="2" applyFont="1" applyFill="1" applyBorder="1"/>
    <xf numFmtId="0" fontId="0" fillId="7" borderId="0" xfId="0" applyFill="1"/>
    <xf numFmtId="0" fontId="5" fillId="0" borderId="0" xfId="0" applyFont="1" applyProtection="1"/>
    <xf numFmtId="0" fontId="0" fillId="0" borderId="0" xfId="0" applyProtection="1"/>
    <xf numFmtId="0" fontId="0" fillId="0" borderId="0" xfId="0" applyAlignment="1" applyProtection="1">
      <alignment horizontal="center"/>
    </xf>
    <xf numFmtId="0" fontId="0" fillId="2" borderId="1" xfId="0" applyFill="1" applyBorder="1" applyProtection="1"/>
    <xf numFmtId="44" fontId="0" fillId="0" borderId="0" xfId="2" applyFont="1" applyProtection="1"/>
    <xf numFmtId="164" fontId="19" fillId="0" borderId="0" xfId="0" applyNumberFormat="1" applyFont="1" applyAlignment="1" applyProtection="1">
      <alignment horizontal="center"/>
    </xf>
    <xf numFmtId="0" fontId="18" fillId="0" borderId="0" xfId="0" applyFont="1" applyProtection="1"/>
    <xf numFmtId="44" fontId="0" fillId="0" borderId="0" xfId="0" applyNumberFormat="1" applyProtection="1"/>
    <xf numFmtId="0" fontId="0" fillId="0" borderId="0" xfId="0" applyFill="1" applyBorder="1" applyProtection="1"/>
    <xf numFmtId="0" fontId="5" fillId="0" borderId="0" xfId="0" applyFont="1" applyFill="1" applyBorder="1" applyProtection="1"/>
    <xf numFmtId="9" fontId="11" fillId="0" borderId="0" xfId="0" applyNumberFormat="1" applyFont="1" applyAlignment="1" applyProtection="1">
      <alignment horizontal="center"/>
    </xf>
    <xf numFmtId="9" fontId="0" fillId="2" borderId="1" xfId="0" applyNumberFormat="1" applyFill="1" applyBorder="1" applyProtection="1"/>
    <xf numFmtId="44" fontId="0" fillId="3" borderId="1" xfId="2" applyFont="1" applyFill="1" applyBorder="1" applyProtection="1">
      <protection locked="0"/>
    </xf>
    <xf numFmtId="0" fontId="0" fillId="2" borderId="1" xfId="0" applyFill="1" applyBorder="1" applyAlignment="1" applyProtection="1"/>
    <xf numFmtId="0" fontId="0" fillId="0" borderId="0" xfId="0" applyFill="1" applyBorder="1" applyAlignment="1" applyProtection="1"/>
    <xf numFmtId="0" fontId="0" fillId="6" borderId="0" xfId="0" applyFill="1"/>
    <xf numFmtId="0" fontId="0" fillId="0" borderId="22" xfId="0" applyBorder="1" applyAlignment="1">
      <alignment horizontal="center" wrapText="1"/>
    </xf>
    <xf numFmtId="0" fontId="0" fillId="0" borderId="22" xfId="0" applyBorder="1"/>
    <xf numFmtId="0" fontId="0" fillId="6" borderId="22" xfId="0" applyFill="1" applyBorder="1"/>
    <xf numFmtId="164" fontId="0" fillId="0" borderId="22" xfId="0" applyNumberFormat="1" applyBorder="1"/>
    <xf numFmtId="164" fontId="0" fillId="0" borderId="0" xfId="0" applyNumberFormat="1"/>
    <xf numFmtId="2" fontId="0" fillId="0" borderId="0" xfId="0" applyNumberFormat="1"/>
    <xf numFmtId="0" fontId="0" fillId="0" borderId="1" xfId="0" applyFill="1" applyBorder="1" applyAlignment="1" applyProtection="1">
      <alignment horizontal="center"/>
      <protection locked="0"/>
    </xf>
    <xf numFmtId="0" fontId="0" fillId="3" borderId="0" xfId="0" applyFill="1" applyProtection="1">
      <protection locked="0"/>
    </xf>
    <xf numFmtId="39" fontId="0" fillId="0" borderId="0" xfId="0" applyNumberFormat="1"/>
    <xf numFmtId="1" fontId="0" fillId="0" borderId="0" xfId="0" applyNumberFormat="1"/>
    <xf numFmtId="0" fontId="0" fillId="0" borderId="0" xfId="0" applyFont="1"/>
    <xf numFmtId="0" fontId="0" fillId="0" borderId="22" xfId="0" applyFont="1" applyBorder="1"/>
    <xf numFmtId="0" fontId="20" fillId="0" borderId="0" xfId="0" applyFont="1" applyBorder="1" applyAlignment="1"/>
    <xf numFmtId="0" fontId="20" fillId="0" borderId="0" xfId="0" applyFont="1" applyAlignment="1"/>
    <xf numFmtId="2" fontId="20" fillId="0" borderId="0" xfId="0" applyNumberFormat="1" applyFont="1" applyAlignment="1"/>
    <xf numFmtId="39" fontId="20" fillId="0" borderId="0" xfId="2" applyNumberFormat="1" applyFont="1" applyBorder="1"/>
    <xf numFmtId="43" fontId="20" fillId="0" borderId="0" xfId="4" applyFont="1" applyBorder="1"/>
    <xf numFmtId="9" fontId="0" fillId="3" borderId="1" xfId="3" applyFont="1" applyFill="1" applyBorder="1" applyProtection="1">
      <protection locked="0"/>
    </xf>
    <xf numFmtId="44" fontId="0" fillId="2" borderId="1" xfId="2" applyFont="1" applyFill="1" applyBorder="1"/>
    <xf numFmtId="0" fontId="0" fillId="0" borderId="7" xfId="0" applyBorder="1" applyAlignment="1">
      <alignment horizontal="center" vertical="center" wrapText="1"/>
    </xf>
    <xf numFmtId="0" fontId="0" fillId="3" borderId="1" xfId="0" applyFill="1" applyBorder="1" applyProtection="1">
      <protection locked="0"/>
    </xf>
    <xf numFmtId="0" fontId="0" fillId="0" borderId="22" xfId="0" applyFill="1" applyBorder="1"/>
    <xf numFmtId="44" fontId="0" fillId="0" borderId="0" xfId="0" applyNumberFormat="1" applyFill="1"/>
    <xf numFmtId="8" fontId="0" fillId="0" borderId="0" xfId="0" applyNumberFormat="1" applyFill="1"/>
    <xf numFmtId="9" fontId="0" fillId="0" borderId="0" xfId="0" applyNumberFormat="1" applyFill="1"/>
    <xf numFmtId="8" fontId="0" fillId="0" borderId="0" xfId="4" applyNumberFormat="1" applyFont="1" applyFill="1"/>
    <xf numFmtId="0" fontId="17" fillId="0" borderId="0" xfId="0" applyFont="1" applyBorder="1" applyAlignment="1" applyProtection="1">
      <alignment horizontal="center"/>
    </xf>
    <xf numFmtId="43" fontId="0" fillId="0" borderId="0" xfId="4" applyFont="1"/>
    <xf numFmtId="43" fontId="0" fillId="0" borderId="0" xfId="0" applyNumberFormat="1"/>
    <xf numFmtId="165" fontId="0" fillId="3" borderId="0" xfId="3" applyNumberFormat="1" applyFont="1" applyFill="1" applyProtection="1">
      <protection locked="0"/>
    </xf>
    <xf numFmtId="0" fontId="0" fillId="0" borderId="0" xfId="0" applyAlignment="1">
      <alignment horizontal="center" vertical="center" textRotation="90"/>
    </xf>
    <xf numFmtId="0" fontId="0" fillId="3" borderId="0" xfId="0" applyFill="1" applyAlignment="1">
      <alignment horizontal="center"/>
    </xf>
    <xf numFmtId="44" fontId="0" fillId="0" borderId="0" xfId="2" applyNumberFormat="1" applyFont="1" applyProtection="1"/>
    <xf numFmtId="166" fontId="0" fillId="3" borderId="23" xfId="4" applyNumberFormat="1" applyFont="1" applyFill="1" applyBorder="1" applyProtection="1"/>
    <xf numFmtId="166" fontId="0" fillId="3" borderId="1" xfId="4" applyNumberFormat="1" applyFont="1" applyFill="1" applyBorder="1" applyProtection="1"/>
    <xf numFmtId="166" fontId="0" fillId="3" borderId="1" xfId="4" applyNumberFormat="1" applyFont="1" applyFill="1" applyBorder="1" applyAlignment="1" applyProtection="1">
      <alignment horizontal="right"/>
    </xf>
    <xf numFmtId="0" fontId="2" fillId="4" borderId="0" xfId="0" applyFont="1" applyFill="1" applyAlignment="1">
      <alignment wrapText="1"/>
    </xf>
    <xf numFmtId="0" fontId="0" fillId="4" borderId="0" xfId="0" applyFill="1" applyAlignment="1">
      <alignment vertical="center" wrapText="1"/>
    </xf>
    <xf numFmtId="0" fontId="22" fillId="7" borderId="0" xfId="0" applyFont="1" applyFill="1"/>
    <xf numFmtId="0" fontId="22" fillId="6" borderId="0" xfId="0" applyFont="1" applyFill="1"/>
    <xf numFmtId="9" fontId="22" fillId="6" borderId="0" xfId="0" applyNumberFormat="1" applyFont="1" applyFill="1"/>
    <xf numFmtId="44" fontId="22" fillId="6" borderId="0" xfId="0" applyNumberFormat="1" applyFont="1" applyFill="1" applyAlignment="1">
      <alignment horizontal="center"/>
    </xf>
    <xf numFmtId="164" fontId="22" fillId="6" borderId="0" xfId="0" applyNumberFormat="1" applyFont="1" applyFill="1" applyAlignment="1">
      <alignment horizontal="right"/>
    </xf>
    <xf numFmtId="8" fontId="22" fillId="6" borderId="0" xfId="0" applyNumberFormat="1" applyFont="1" applyFill="1" applyAlignment="1">
      <alignment horizontal="right"/>
    </xf>
    <xf numFmtId="8" fontId="22" fillId="6" borderId="0" xfId="0" applyNumberFormat="1" applyFont="1" applyFill="1" applyAlignment="1"/>
    <xf numFmtId="0" fontId="22" fillId="6" borderId="0" xfId="0" applyFont="1" applyFill="1" applyAlignment="1">
      <alignment horizontal="right"/>
    </xf>
    <xf numFmtId="44" fontId="0" fillId="0" borderId="0" xfId="2" applyFont="1" applyFill="1" applyBorder="1"/>
    <xf numFmtId="166" fontId="0" fillId="0" borderId="0" xfId="0" applyNumberFormat="1"/>
    <xf numFmtId="0" fontId="0" fillId="3" borderId="0" xfId="0" applyFill="1" applyAlignment="1">
      <alignment horizontal="center"/>
    </xf>
    <xf numFmtId="0" fontId="0" fillId="3" borderId="0" xfId="0" applyFill="1" applyAlignment="1">
      <alignment horizontal="center"/>
    </xf>
    <xf numFmtId="0" fontId="18" fillId="0" borderId="0" xfId="0" applyFont="1" applyAlignment="1" applyProtection="1">
      <alignment horizontal="left"/>
    </xf>
    <xf numFmtId="0" fontId="0" fillId="3" borderId="0" xfId="0" applyFill="1" applyAlignment="1"/>
    <xf numFmtId="0" fontId="0" fillId="3" borderId="0" xfId="0" applyFill="1" applyBorder="1" applyAlignment="1" applyProtection="1">
      <protection locked="0"/>
    </xf>
    <xf numFmtId="44" fontId="0" fillId="0" borderId="1" xfId="2" applyFont="1" applyFill="1" applyBorder="1" applyProtection="1">
      <protection locked="0"/>
    </xf>
    <xf numFmtId="43" fontId="0" fillId="3" borderId="0" xfId="4" applyNumberFormat="1" applyFont="1" applyFill="1" applyProtection="1">
      <protection locked="0"/>
    </xf>
    <xf numFmtId="43" fontId="0" fillId="2" borderId="0" xfId="0" applyNumberFormat="1" applyFill="1"/>
    <xf numFmtId="37" fontId="0" fillId="0" borderId="0" xfId="0" applyNumberFormat="1"/>
    <xf numFmtId="0" fontId="0" fillId="0" borderId="0" xfId="0" applyAlignment="1">
      <alignment wrapText="1"/>
    </xf>
    <xf numFmtId="0" fontId="0" fillId="0" borderId="0" xfId="0" applyFill="1" applyAlignment="1">
      <alignment horizontal="left"/>
    </xf>
    <xf numFmtId="39" fontId="0" fillId="2" borderId="0" xfId="0" applyNumberFormat="1" applyFill="1"/>
    <xf numFmtId="0" fontId="0" fillId="0" borderId="0" xfId="0" applyAlignment="1">
      <alignment vertical="center"/>
    </xf>
    <xf numFmtId="44" fontId="0" fillId="2" borderId="0" xfId="0" applyNumberFormat="1" applyFill="1"/>
    <xf numFmtId="44" fontId="0" fillId="3" borderId="1" xfId="2" applyFont="1" applyFill="1" applyBorder="1"/>
    <xf numFmtId="8" fontId="0" fillId="2" borderId="0" xfId="0" applyNumberFormat="1" applyFill="1" applyProtection="1"/>
    <xf numFmtId="44" fontId="6" fillId="0" borderId="0" xfId="2" applyFont="1" applyProtection="1"/>
    <xf numFmtId="0" fontId="22" fillId="6" borderId="0" xfId="0" applyFont="1" applyFill="1" applyBorder="1" applyAlignment="1">
      <alignment vertical="center"/>
    </xf>
    <xf numFmtId="0" fontId="22" fillId="6" borderId="0" xfId="0" applyFont="1" applyFill="1" applyAlignment="1">
      <alignment horizontal="center" vertical="center" wrapText="1"/>
    </xf>
    <xf numFmtId="0" fontId="0" fillId="3" borderId="0" xfId="0" applyFill="1" applyAlignment="1">
      <alignment wrapText="1"/>
    </xf>
    <xf numFmtId="0" fontId="25" fillId="4" borderId="0" xfId="0" applyFont="1" applyFill="1" applyAlignment="1">
      <alignment vertical="top" wrapText="1"/>
    </xf>
    <xf numFmtId="0" fontId="22" fillId="6" borderId="0" xfId="0" applyFont="1" applyFill="1" applyAlignment="1">
      <alignment vertical="center" wrapText="1"/>
    </xf>
    <xf numFmtId="0" fontId="0" fillId="2" borderId="0" xfId="0" applyFill="1" applyProtection="1"/>
    <xf numFmtId="44" fontId="22" fillId="6" borderId="0" xfId="2" applyFont="1" applyFill="1" applyBorder="1" applyAlignment="1">
      <alignment vertical="center"/>
    </xf>
    <xf numFmtId="9" fontId="22" fillId="6" borderId="0" xfId="0" applyNumberFormat="1" applyFont="1" applyFill="1" applyBorder="1" applyAlignment="1">
      <alignment vertical="center"/>
    </xf>
    <xf numFmtId="166" fontId="22" fillId="6" borderId="0" xfId="4" applyNumberFormat="1" applyFont="1" applyFill="1" applyBorder="1" applyAlignment="1">
      <alignment vertical="center"/>
    </xf>
    <xf numFmtId="0" fontId="0" fillId="0" borderId="0" xfId="0" applyAlignment="1">
      <alignment vertical="center" wrapText="1"/>
    </xf>
    <xf numFmtId="0" fontId="16" fillId="3" borderId="0" xfId="0" applyFont="1" applyFill="1" applyAlignment="1">
      <alignment horizontal="left" vertical="top" wrapText="1"/>
    </xf>
    <xf numFmtId="0" fontId="21" fillId="6" borderId="0" xfId="0" applyFont="1" applyFill="1" applyAlignment="1">
      <alignment horizontal="center" vertical="top" wrapText="1"/>
    </xf>
    <xf numFmtId="0" fontId="3" fillId="3" borderId="0" xfId="1" applyFill="1" applyAlignment="1" applyProtection="1">
      <alignment horizontal="center"/>
      <protection locked="0"/>
    </xf>
    <xf numFmtId="0" fontId="22" fillId="6" borderId="0" xfId="0" applyFont="1" applyFill="1" applyAlignment="1">
      <alignment horizontal="center" vertical="center" wrapText="1"/>
    </xf>
    <xf numFmtId="9" fontId="0" fillId="0" borderId="8" xfId="0" applyNumberFormat="1" applyFill="1" applyBorder="1" applyAlignment="1" applyProtection="1">
      <alignment horizontal="center"/>
      <protection locked="0"/>
    </xf>
    <xf numFmtId="9" fontId="0" fillId="0" borderId="9" xfId="0" applyNumberFormat="1"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10" xfId="0" applyFill="1" applyBorder="1" applyAlignment="1" applyProtection="1">
      <alignment horizontal="center"/>
      <protection locked="0"/>
    </xf>
    <xf numFmtId="0" fontId="0" fillId="0" borderId="9" xfId="0" applyFill="1" applyBorder="1" applyAlignment="1" applyProtection="1">
      <alignment horizontal="center"/>
      <protection locked="0"/>
    </xf>
    <xf numFmtId="0" fontId="23" fillId="6" borderId="0" xfId="0" applyFont="1" applyFill="1" applyAlignment="1">
      <alignment horizontal="center"/>
    </xf>
    <xf numFmtId="0" fontId="22" fillId="6" borderId="0" xfId="0" applyFont="1" applyFill="1" applyAlignment="1">
      <alignment horizontal="center"/>
    </xf>
    <xf numFmtId="0" fontId="0" fillId="0" borderId="8" xfId="0" applyBorder="1" applyAlignment="1" applyProtection="1">
      <alignment horizontal="center"/>
      <protection locked="0"/>
    </xf>
    <xf numFmtId="0" fontId="0" fillId="0" borderId="9" xfId="0" applyBorder="1" applyAlignment="1" applyProtection="1">
      <alignment horizontal="center"/>
      <protection locked="0"/>
    </xf>
    <xf numFmtId="0" fontId="0" fillId="3" borderId="0" xfId="0" applyFill="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2" fillId="3" borderId="3" xfId="0" applyFont="1" applyFill="1" applyBorder="1" applyAlignment="1">
      <alignment horizontal="center"/>
    </xf>
    <xf numFmtId="0" fontId="0" fillId="2" borderId="6" xfId="0" applyFill="1" applyBorder="1" applyAlignment="1">
      <alignment horizontal="center"/>
    </xf>
    <xf numFmtId="0" fontId="0" fillId="3" borderId="0" xfId="0" applyFill="1" applyAlignment="1">
      <alignment horizontal="center" wrapText="1"/>
    </xf>
    <xf numFmtId="0" fontId="16" fillId="3" borderId="11" xfId="0" applyFont="1" applyFill="1" applyBorder="1" applyAlignment="1">
      <alignment horizontal="left" vertical="center"/>
    </xf>
    <xf numFmtId="0" fontId="16" fillId="3" borderId="0" xfId="0" applyFont="1" applyFill="1" applyAlignment="1">
      <alignment horizontal="left" vertical="center"/>
    </xf>
    <xf numFmtId="0" fontId="9" fillId="3" borderId="0" xfId="0" applyFont="1" applyFill="1" applyAlignment="1">
      <alignment horizontal="center" vertical="center"/>
    </xf>
    <xf numFmtId="0" fontId="0" fillId="0" borderId="10" xfId="0" applyBorder="1" applyAlignment="1" applyProtection="1">
      <alignment horizontal="center"/>
      <protection locked="0"/>
    </xf>
    <xf numFmtId="0" fontId="2" fillId="3" borderId="0" xfId="0" applyFont="1" applyFill="1" applyAlignment="1">
      <alignment horizontal="center"/>
    </xf>
    <xf numFmtId="0" fontId="0" fillId="0" borderId="11" xfId="0" applyBorder="1" applyAlignment="1" applyProtection="1">
      <alignment horizontal="left"/>
    </xf>
    <xf numFmtId="0" fontId="0" fillId="0" borderId="0" xfId="0" applyAlignment="1" applyProtection="1">
      <alignment horizontal="left"/>
    </xf>
    <xf numFmtId="0" fontId="18" fillId="0" borderId="11" xfId="0" applyFont="1" applyBorder="1" applyAlignment="1" applyProtection="1">
      <alignment horizontal="left"/>
    </xf>
    <xf numFmtId="0" fontId="18" fillId="0" borderId="0" xfId="0" applyFont="1" applyAlignment="1" applyProtection="1">
      <alignment horizontal="left"/>
    </xf>
    <xf numFmtId="0" fontId="0" fillId="0" borderId="0" xfId="0" applyBorder="1" applyAlignment="1">
      <alignment horizontal="center"/>
    </xf>
    <xf numFmtId="0" fontId="18" fillId="0" borderId="0" xfId="0" applyFont="1" applyBorder="1" applyAlignment="1" applyProtection="1">
      <alignment horizontal="left"/>
    </xf>
    <xf numFmtId="0" fontId="0" fillId="0" borderId="0" xfId="0" applyAlignment="1" applyProtection="1">
      <alignment horizontal="right"/>
    </xf>
    <xf numFmtId="0" fontId="0" fillId="0" borderId="0" xfId="0" applyAlignment="1">
      <alignment horizontal="center" vertical="center" wrapText="1"/>
    </xf>
    <xf numFmtId="0" fontId="0" fillId="0" borderId="0" xfId="0" applyAlignment="1">
      <alignment horizontal="center" vertical="center" textRotation="90"/>
    </xf>
    <xf numFmtId="0" fontId="0" fillId="0" borderId="0" xfId="0" applyAlignment="1">
      <alignment horizontal="center"/>
    </xf>
    <xf numFmtId="0" fontId="18" fillId="0" borderId="0" xfId="0" applyFont="1" applyAlignment="1">
      <alignment horizontal="center" vertical="center" textRotation="90" wrapText="1"/>
    </xf>
    <xf numFmtId="0" fontId="20" fillId="0" borderId="0" xfId="0" applyFont="1" applyBorder="1" applyAlignment="1">
      <alignment horizontal="center"/>
    </xf>
    <xf numFmtId="0" fontId="20" fillId="0" borderId="22" xfId="0" applyFont="1" applyBorder="1" applyAlignment="1">
      <alignment horizontal="center"/>
    </xf>
    <xf numFmtId="0" fontId="0" fillId="0" borderId="11" xfId="0" applyBorder="1" applyAlignment="1" applyProtection="1">
      <alignment horizontal="center"/>
    </xf>
    <xf numFmtId="0" fontId="0" fillId="0" borderId="0" xfId="0" applyAlignment="1" applyProtection="1">
      <alignment horizontal="center"/>
    </xf>
    <xf numFmtId="0" fontId="0" fillId="0" borderId="0" xfId="0" applyFill="1" applyAlignment="1">
      <alignment horizontal="center"/>
    </xf>
    <xf numFmtId="0" fontId="6" fillId="0" borderId="0" xfId="0" applyFont="1" applyAlignment="1">
      <alignment wrapText="1"/>
    </xf>
    <xf numFmtId="0" fontId="10" fillId="0" borderId="0" xfId="0" applyFont="1" applyAlignment="1">
      <alignment horizontal="center"/>
    </xf>
    <xf numFmtId="0" fontId="6" fillId="0" borderId="0" xfId="0" applyFont="1" applyBorder="1" applyAlignment="1">
      <alignment horizontal="left"/>
    </xf>
    <xf numFmtId="0" fontId="0" fillId="0" borderId="0" xfId="0" applyBorder="1" applyAlignment="1">
      <alignment vertical="top" wrapText="1"/>
    </xf>
    <xf numFmtId="0" fontId="11" fillId="0" borderId="0" xfId="0" applyFont="1" applyAlignment="1">
      <alignment horizontal="center" wrapText="1"/>
    </xf>
    <xf numFmtId="0" fontId="6" fillId="0" borderId="0" xfId="0" applyFont="1" applyAlignment="1">
      <alignment horizontal="left" vertical="top" wrapText="1"/>
    </xf>
    <xf numFmtId="0" fontId="6" fillId="0" borderId="0" xfId="0" applyFont="1" applyAlignment="1">
      <alignment vertical="top" wrapText="1"/>
    </xf>
    <xf numFmtId="0" fontId="6" fillId="0" borderId="0" xfId="0" applyFont="1" applyAlignment="1">
      <alignment horizontal="right" vertical="center"/>
    </xf>
    <xf numFmtId="0" fontId="6" fillId="0" borderId="0" xfId="0" applyFont="1" applyAlignment="1">
      <alignment horizontal="left" wrapText="1"/>
    </xf>
    <xf numFmtId="0" fontId="7" fillId="0" borderId="0" xfId="0" applyFont="1" applyAlignment="1">
      <alignment horizontal="left" wrapText="1"/>
    </xf>
    <xf numFmtId="0" fontId="0" fillId="0" borderId="0" xfId="0" applyBorder="1" applyAlignment="1">
      <alignment horizontal="left" vertical="top" wrapText="1"/>
    </xf>
  </cellXfs>
  <cellStyles count="5">
    <cellStyle name="Comma" xfId="4" builtinId="3"/>
    <cellStyle name="Currency" xfId="2" builtinId="4"/>
    <cellStyle name="Hyperlink" xfId="1" builtinId="8"/>
    <cellStyle name="Normal" xfId="0" builtinId="0"/>
    <cellStyle name="Percent" xfId="3" builtinId="5"/>
  </cellStyles>
  <dxfs count="1">
    <dxf>
      <font>
        <color rgb="FFC00000"/>
      </font>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585594068782642"/>
          <c:y val="0.2990219506143823"/>
          <c:w val="0.79333062748599725"/>
          <c:h val="0.37747326360324429"/>
        </c:manualLayout>
      </c:layout>
      <c:lineChart>
        <c:grouping val="standard"/>
        <c:varyColors val="0"/>
        <c:ser>
          <c:idx val="2"/>
          <c:order val="0"/>
          <c:tx>
            <c:strRef>
              <c:f>'Growth models'!$A$4</c:f>
              <c:strCache>
                <c:ptCount val="1"/>
                <c:pt idx="0">
                  <c:v>Nut yield (good)</c:v>
                </c:pt>
              </c:strCache>
            </c:strRef>
          </c:tx>
          <c:marker>
            <c:symbol val="none"/>
          </c:marker>
          <c:trendline>
            <c:trendlineType val="poly"/>
            <c:order val="3"/>
            <c:dispRSqr val="1"/>
            <c:dispEq val="1"/>
            <c:trendlineLbl>
              <c:layout>
                <c:manualLayout>
                  <c:x val="2.279791185042267E-2"/>
                  <c:y val="-0.17780990587071119"/>
                </c:manualLayout>
              </c:layout>
              <c:numFmt formatCode="General" sourceLinked="0"/>
            </c:trendlineLbl>
          </c:trendline>
          <c:val>
            <c:numRef>
              <c:f>'Growth models'!$B$4:$BI$4</c:f>
              <c:numCache>
                <c:formatCode>#,##0.00_);\(#,##0.00\)</c:formatCode>
                <c:ptCount val="60"/>
                <c:pt idx="0">
                  <c:v>-12.269200000000001</c:v>
                </c:pt>
                <c:pt idx="1">
                  <c:v>-2.6124000000000009</c:v>
                </c:pt>
                <c:pt idx="2">
                  <c:v>6.6019999999999968</c:v>
                </c:pt>
                <c:pt idx="3">
                  <c:v>15.383599999999994</c:v>
                </c:pt>
                <c:pt idx="4">
                  <c:v>23.741999999999997</c:v>
                </c:pt>
                <c:pt idx="5">
                  <c:v>31.686799999999991</c:v>
                </c:pt>
                <c:pt idx="6">
                  <c:v>39.227599999999995</c:v>
                </c:pt>
                <c:pt idx="7">
                  <c:v>46.373999999999995</c:v>
                </c:pt>
                <c:pt idx="8">
                  <c:v>53.135599999999982</c:v>
                </c:pt>
                <c:pt idx="9">
                  <c:v>59.521999999999991</c:v>
                </c:pt>
                <c:pt idx="10">
                  <c:v>65.542799999999986</c:v>
                </c:pt>
                <c:pt idx="11">
                  <c:v>71.207599999999985</c:v>
                </c:pt>
                <c:pt idx="12">
                  <c:v>76.525999999999968</c:v>
                </c:pt>
                <c:pt idx="13">
                  <c:v>81.507599999999996</c:v>
                </c:pt>
                <c:pt idx="14">
                  <c:v>86.161999999999992</c:v>
                </c:pt>
                <c:pt idx="15">
                  <c:v>90.498799999999989</c:v>
                </c:pt>
                <c:pt idx="16">
                  <c:v>94.527599999999978</c:v>
                </c:pt>
                <c:pt idx="17">
                  <c:v>98.257999999999967</c:v>
                </c:pt>
                <c:pt idx="18">
                  <c:v>101.6996</c:v>
                </c:pt>
                <c:pt idx="19">
                  <c:v>104.86199999999998</c:v>
                </c:pt>
                <c:pt idx="20">
                  <c:v>107.75479999999997</c:v>
                </c:pt>
                <c:pt idx="21">
                  <c:v>110.38759999999998</c:v>
                </c:pt>
                <c:pt idx="22">
                  <c:v>112.76999999999997</c:v>
                </c:pt>
                <c:pt idx="23">
                  <c:v>114.91159999999998</c:v>
                </c:pt>
                <c:pt idx="24">
                  <c:v>116.82199999999999</c:v>
                </c:pt>
                <c:pt idx="25">
                  <c:v>118.51079999999995</c:v>
                </c:pt>
                <c:pt idx="26">
                  <c:v>119.98759999999997</c:v>
                </c:pt>
                <c:pt idx="27">
                  <c:v>121.26199999999999</c:v>
                </c:pt>
                <c:pt idx="28">
                  <c:v>122.34359999999997</c:v>
                </c:pt>
                <c:pt idx="29">
                  <c:v>123.242</c:v>
                </c:pt>
                <c:pt idx="30">
                  <c:v>123.96679999999996</c:v>
                </c:pt>
                <c:pt idx="31">
                  <c:v>124.52759999999996</c:v>
                </c:pt>
                <c:pt idx="32">
                  <c:v>124.93399999999998</c:v>
                </c:pt>
                <c:pt idx="33">
                  <c:v>125.19559999999997</c:v>
                </c:pt>
                <c:pt idx="34">
                  <c:v>125.32199999999999</c:v>
                </c:pt>
                <c:pt idx="35">
                  <c:v>125.32279999999996</c:v>
                </c:pt>
                <c:pt idx="36">
                  <c:v>125.2076</c:v>
                </c:pt>
                <c:pt idx="37">
                  <c:v>124.98600000000003</c:v>
                </c:pt>
                <c:pt idx="38">
                  <c:v>124.66759999999998</c:v>
                </c:pt>
                <c:pt idx="39">
                  <c:v>124.26199999999999</c:v>
                </c:pt>
                <c:pt idx="40">
                  <c:v>123.77879999999992</c:v>
                </c:pt>
                <c:pt idx="41">
                  <c:v>123.22759999999992</c:v>
                </c:pt>
                <c:pt idx="42">
                  <c:v>122.61799999999998</c:v>
                </c:pt>
                <c:pt idx="43">
                  <c:v>121.95959999999995</c:v>
                </c:pt>
                <c:pt idx="44">
                  <c:v>121.26199999999999</c:v>
                </c:pt>
                <c:pt idx="45">
                  <c:v>120.5348</c:v>
                </c:pt>
                <c:pt idx="46">
                  <c:v>119.78759999999998</c:v>
                </c:pt>
                <c:pt idx="47">
                  <c:v>119.02999999999996</c:v>
                </c:pt>
                <c:pt idx="48">
                  <c:v>118.27159999999996</c:v>
                </c:pt>
                <c:pt idx="49">
                  <c:v>117.52199999999998</c:v>
                </c:pt>
                <c:pt idx="50">
                  <c:v>116.79079999999998</c:v>
                </c:pt>
                <c:pt idx="51">
                  <c:v>116.08759999999988</c:v>
                </c:pt>
                <c:pt idx="52">
                  <c:v>115.42199999999995</c:v>
                </c:pt>
                <c:pt idx="53">
                  <c:v>114.8036</c:v>
                </c:pt>
                <c:pt idx="54">
                  <c:v>114.24199999999995</c:v>
                </c:pt>
                <c:pt idx="55">
                  <c:v>113.74679999999999</c:v>
                </c:pt>
                <c:pt idx="56">
                  <c:v>113.3276</c:v>
                </c:pt>
                <c:pt idx="57">
                  <c:v>112.99399999999996</c:v>
                </c:pt>
                <c:pt idx="58">
                  <c:v>112.7556</c:v>
                </c:pt>
                <c:pt idx="59">
                  <c:v>112.622</c:v>
                </c:pt>
              </c:numCache>
            </c:numRef>
          </c:val>
          <c:smooth val="0"/>
          <c:extLst>
            <c:ext xmlns:c16="http://schemas.microsoft.com/office/drawing/2014/chart" uri="{C3380CC4-5D6E-409C-BE32-E72D297353CC}">
              <c16:uniqueId val="{00000001-B870-4684-9A6D-1F16E9B9B786}"/>
            </c:ext>
          </c:extLst>
        </c:ser>
        <c:dLbls>
          <c:showLegendKey val="0"/>
          <c:showVal val="0"/>
          <c:showCatName val="0"/>
          <c:showSerName val="0"/>
          <c:showPercent val="0"/>
          <c:showBubbleSize val="0"/>
        </c:dLbls>
        <c:smooth val="0"/>
        <c:axId val="222400464"/>
        <c:axId val="222116824"/>
      </c:lineChart>
      <c:catAx>
        <c:axId val="222400464"/>
        <c:scaling>
          <c:orientation val="minMax"/>
        </c:scaling>
        <c:delete val="0"/>
        <c:axPos val="b"/>
        <c:majorTickMark val="none"/>
        <c:minorTickMark val="none"/>
        <c:tickLblPos val="nextTo"/>
        <c:crossAx val="222116824"/>
        <c:crosses val="autoZero"/>
        <c:auto val="1"/>
        <c:lblAlgn val="ctr"/>
        <c:lblOffset val="100"/>
        <c:noMultiLvlLbl val="0"/>
      </c:catAx>
      <c:valAx>
        <c:axId val="222116824"/>
        <c:scaling>
          <c:orientation val="minMax"/>
        </c:scaling>
        <c:delete val="0"/>
        <c:axPos val="l"/>
        <c:majorGridlines/>
        <c:numFmt formatCode="#,##0.00_);\(#,##0.00\)" sourceLinked="1"/>
        <c:majorTickMark val="none"/>
        <c:minorTickMark val="none"/>
        <c:tickLblPos val="nextTo"/>
        <c:spPr>
          <a:ln w="9525">
            <a:noFill/>
          </a:ln>
        </c:spPr>
        <c:crossAx val="222400464"/>
        <c:crosses val="autoZero"/>
        <c:crossBetween val="between"/>
        <c:majorUnit val="20"/>
      </c:valAx>
    </c:plotArea>
    <c:legend>
      <c:legendPos val="b"/>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3927996500437445"/>
          <c:y val="0.26779623350000958"/>
          <c:w val="0.8101227034120736"/>
          <c:h val="0.48064778361038202"/>
        </c:manualLayout>
      </c:layout>
      <c:lineChart>
        <c:grouping val="standard"/>
        <c:varyColors val="0"/>
        <c:ser>
          <c:idx val="0"/>
          <c:order val="0"/>
          <c:tx>
            <c:strRef>
              <c:f>'Growth models'!$A$5</c:f>
              <c:strCache>
                <c:ptCount val="1"/>
                <c:pt idx="0">
                  <c:v>Nut yield (Average)</c:v>
                </c:pt>
              </c:strCache>
            </c:strRef>
          </c:tx>
          <c:marker>
            <c:symbol val="none"/>
          </c:marker>
          <c:trendline>
            <c:trendlineType val="poly"/>
            <c:order val="3"/>
            <c:dispRSqr val="1"/>
            <c:dispEq val="1"/>
            <c:trendlineLbl>
              <c:layout>
                <c:manualLayout>
                  <c:x val="6.2528871391076116E-2"/>
                  <c:y val="-0.13640937218614096"/>
                </c:manualLayout>
              </c:layout>
              <c:numFmt formatCode="General" sourceLinked="0"/>
            </c:trendlineLbl>
          </c:trendline>
          <c:val>
            <c:numRef>
              <c:f>'Growth models'!$B$5:$BI$5</c:f>
              <c:numCache>
                <c:formatCode>#,##0.00_);\(#,##0.00\)</c:formatCode>
                <c:ptCount val="60"/>
                <c:pt idx="0">
                  <c:v>-7.6163999999999996</c:v>
                </c:pt>
                <c:pt idx="1">
                  <c:v>-0.65579999999999927</c:v>
                </c:pt>
                <c:pt idx="2">
                  <c:v>5.9790000000000028</c:v>
                </c:pt>
                <c:pt idx="3">
                  <c:v>12.295200000000001</c:v>
                </c:pt>
                <c:pt idx="4">
                  <c:v>18.3</c:v>
                </c:pt>
                <c:pt idx="5">
                  <c:v>24.000600000000002</c:v>
                </c:pt>
                <c:pt idx="6">
                  <c:v>29.404200000000007</c:v>
                </c:pt>
                <c:pt idx="7">
                  <c:v>34.518000000000001</c:v>
                </c:pt>
                <c:pt idx="8">
                  <c:v>39.34920000000001</c:v>
                </c:pt>
                <c:pt idx="9">
                  <c:v>43.905000000000001</c:v>
                </c:pt>
                <c:pt idx="10">
                  <c:v>48.192600000000013</c:v>
                </c:pt>
                <c:pt idx="11">
                  <c:v>52.219200000000015</c:v>
                </c:pt>
                <c:pt idx="12">
                  <c:v>55.992000000000004</c:v>
                </c:pt>
                <c:pt idx="13">
                  <c:v>59.518200000000007</c:v>
                </c:pt>
                <c:pt idx="14">
                  <c:v>62.805000000000007</c:v>
                </c:pt>
                <c:pt idx="15">
                  <c:v>65.8596</c:v>
                </c:pt>
                <c:pt idx="16">
                  <c:v>68.689200000000014</c:v>
                </c:pt>
                <c:pt idx="17">
                  <c:v>71.301000000000016</c:v>
                </c:pt>
                <c:pt idx="18">
                  <c:v>73.702199999999991</c:v>
                </c:pt>
                <c:pt idx="19">
                  <c:v>75.900000000000006</c:v>
                </c:pt>
                <c:pt idx="20">
                  <c:v>77.901600000000002</c:v>
                </c:pt>
                <c:pt idx="21">
                  <c:v>79.714200000000005</c:v>
                </c:pt>
                <c:pt idx="22">
                  <c:v>81.345000000000013</c:v>
                </c:pt>
                <c:pt idx="23">
                  <c:v>82.801200000000023</c:v>
                </c:pt>
                <c:pt idx="24">
                  <c:v>84.09</c:v>
                </c:pt>
                <c:pt idx="25">
                  <c:v>85.218600000000009</c:v>
                </c:pt>
                <c:pt idx="26">
                  <c:v>86.194200000000023</c:v>
                </c:pt>
                <c:pt idx="27">
                  <c:v>87.024000000000029</c:v>
                </c:pt>
                <c:pt idx="28">
                  <c:v>87.71520000000001</c:v>
                </c:pt>
                <c:pt idx="29">
                  <c:v>88.275000000000006</c:v>
                </c:pt>
                <c:pt idx="30">
                  <c:v>88.710599999999999</c:v>
                </c:pt>
                <c:pt idx="31">
                  <c:v>89.029200000000003</c:v>
                </c:pt>
                <c:pt idx="32">
                  <c:v>89.238</c:v>
                </c:pt>
                <c:pt idx="33">
                  <c:v>89.344200000000001</c:v>
                </c:pt>
                <c:pt idx="34">
                  <c:v>89.35499999999999</c:v>
                </c:pt>
                <c:pt idx="35">
                  <c:v>89.277600000000035</c:v>
                </c:pt>
                <c:pt idx="36">
                  <c:v>89.119200000000006</c:v>
                </c:pt>
                <c:pt idx="37">
                  <c:v>88.886999999999972</c:v>
                </c:pt>
                <c:pt idx="38">
                  <c:v>88.588200000000001</c:v>
                </c:pt>
                <c:pt idx="39">
                  <c:v>88.22999999999999</c:v>
                </c:pt>
                <c:pt idx="40">
                  <c:v>87.819600000000008</c:v>
                </c:pt>
                <c:pt idx="41">
                  <c:v>87.364200000000011</c:v>
                </c:pt>
                <c:pt idx="42">
                  <c:v>86.870999999999952</c:v>
                </c:pt>
                <c:pt idx="43">
                  <c:v>86.347200000000015</c:v>
                </c:pt>
                <c:pt idx="44">
                  <c:v>85.800000000000011</c:v>
                </c:pt>
                <c:pt idx="45">
                  <c:v>85.236600000000038</c:v>
                </c:pt>
                <c:pt idx="46">
                  <c:v>84.664200000000022</c:v>
                </c:pt>
                <c:pt idx="47">
                  <c:v>84.09000000000006</c:v>
                </c:pt>
                <c:pt idx="48">
                  <c:v>83.521199999999993</c:v>
                </c:pt>
                <c:pt idx="49">
                  <c:v>82.965000000000003</c:v>
                </c:pt>
                <c:pt idx="50">
                  <c:v>82.428600000000046</c:v>
                </c:pt>
                <c:pt idx="51">
                  <c:v>81.919199999999961</c:v>
                </c:pt>
                <c:pt idx="52">
                  <c:v>81.444000000000045</c:v>
                </c:pt>
                <c:pt idx="53">
                  <c:v>81.010200000000026</c:v>
                </c:pt>
                <c:pt idx="54">
                  <c:v>80.624999999999972</c:v>
                </c:pt>
                <c:pt idx="55">
                  <c:v>80.295600000000064</c:v>
                </c:pt>
                <c:pt idx="56">
                  <c:v>80.029199999999975</c:v>
                </c:pt>
                <c:pt idx="57">
                  <c:v>79.832999999999998</c:v>
                </c:pt>
                <c:pt idx="58">
                  <c:v>79.714199999999977</c:v>
                </c:pt>
                <c:pt idx="59">
                  <c:v>79.679999999999978</c:v>
                </c:pt>
              </c:numCache>
            </c:numRef>
          </c:val>
          <c:smooth val="0"/>
          <c:extLst>
            <c:ext xmlns:c16="http://schemas.microsoft.com/office/drawing/2014/chart" uri="{C3380CC4-5D6E-409C-BE32-E72D297353CC}">
              <c16:uniqueId val="{00000001-EE7F-400E-8FE7-38A4B2F93EF9}"/>
            </c:ext>
          </c:extLst>
        </c:ser>
        <c:dLbls>
          <c:showLegendKey val="0"/>
          <c:showVal val="0"/>
          <c:showCatName val="0"/>
          <c:showSerName val="0"/>
          <c:showPercent val="0"/>
          <c:showBubbleSize val="0"/>
        </c:dLbls>
        <c:smooth val="0"/>
        <c:axId val="222155960"/>
        <c:axId val="220002480"/>
      </c:lineChart>
      <c:catAx>
        <c:axId val="222155960"/>
        <c:scaling>
          <c:orientation val="minMax"/>
        </c:scaling>
        <c:delete val="0"/>
        <c:axPos val="b"/>
        <c:majorTickMark val="out"/>
        <c:minorTickMark val="none"/>
        <c:tickLblPos val="nextTo"/>
        <c:crossAx val="220002480"/>
        <c:crosses val="autoZero"/>
        <c:auto val="1"/>
        <c:lblAlgn val="ctr"/>
        <c:lblOffset val="100"/>
        <c:noMultiLvlLbl val="0"/>
      </c:catAx>
      <c:valAx>
        <c:axId val="220002480"/>
        <c:scaling>
          <c:orientation val="minMax"/>
        </c:scaling>
        <c:delete val="0"/>
        <c:axPos val="l"/>
        <c:majorGridlines/>
        <c:numFmt formatCode="#,##0.00_);\(#,##0.00\)" sourceLinked="1"/>
        <c:majorTickMark val="out"/>
        <c:minorTickMark val="none"/>
        <c:tickLblPos val="nextTo"/>
        <c:crossAx val="222155960"/>
        <c:crosses val="autoZero"/>
        <c:crossBetween val="between"/>
      </c:valAx>
    </c:plotArea>
    <c:legend>
      <c:legendPos val="r"/>
      <c:layout>
        <c:manualLayout>
          <c:xMode val="edge"/>
          <c:yMode val="edge"/>
          <c:x val="0.24384711286089267"/>
          <c:y val="0.78626204571143932"/>
          <c:w val="0.5533751093613295"/>
          <c:h val="0.13342912427917314"/>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5111329833770792"/>
          <c:y val="0.17165536599591719"/>
          <c:w val="0.82060892388451501"/>
          <c:h val="0.49453667249927113"/>
        </c:manualLayout>
      </c:layout>
      <c:lineChart>
        <c:grouping val="standard"/>
        <c:varyColors val="0"/>
        <c:ser>
          <c:idx val="0"/>
          <c:order val="0"/>
          <c:tx>
            <c:strRef>
              <c:f>'Growth models'!$A$6</c:f>
              <c:strCache>
                <c:ptCount val="1"/>
                <c:pt idx="0">
                  <c:v>Nut yield (Fair)</c:v>
                </c:pt>
              </c:strCache>
            </c:strRef>
          </c:tx>
          <c:marker>
            <c:symbol val="none"/>
          </c:marker>
          <c:trendline>
            <c:trendlineType val="poly"/>
            <c:order val="3"/>
            <c:dispRSqr val="1"/>
            <c:dispEq val="1"/>
            <c:trendlineLbl>
              <c:layout>
                <c:manualLayout>
                  <c:x val="-7.9024496937882757E-3"/>
                  <c:y val="0.15437860413433721"/>
                </c:manualLayout>
              </c:layout>
              <c:numFmt formatCode="General" sourceLinked="0"/>
            </c:trendlineLbl>
          </c:trendline>
          <c:val>
            <c:numRef>
              <c:f>'Growth models'!$B$6:$BI$6</c:f>
              <c:numCache>
                <c:formatCode>_(* #,##0.00_);_(* \(#,##0.00\);_(* "-"??_);_(@_)</c:formatCode>
                <c:ptCount val="60"/>
                <c:pt idx="0">
                  <c:v>-5.6668000000000003</c:v>
                </c:pt>
                <c:pt idx="1">
                  <c:v>-1.7826000000000004</c:v>
                </c:pt>
                <c:pt idx="2">
                  <c:v>1.9199999999999982</c:v>
                </c:pt>
                <c:pt idx="3">
                  <c:v>5.445199999999998</c:v>
                </c:pt>
                <c:pt idx="4">
                  <c:v>8.7971999999999984</c:v>
                </c:pt>
                <c:pt idx="5">
                  <c:v>11.980199999999998</c:v>
                </c:pt>
                <c:pt idx="6">
                  <c:v>14.998399999999998</c:v>
                </c:pt>
                <c:pt idx="7">
                  <c:v>17.855999999999995</c:v>
                </c:pt>
                <c:pt idx="8">
                  <c:v>20.557199999999995</c:v>
                </c:pt>
                <c:pt idx="9">
                  <c:v>23.106200000000001</c:v>
                </c:pt>
                <c:pt idx="10">
                  <c:v>25.507199999999997</c:v>
                </c:pt>
                <c:pt idx="11">
                  <c:v>27.764399999999995</c:v>
                </c:pt>
                <c:pt idx="12">
                  <c:v>29.881999999999998</c:v>
                </c:pt>
                <c:pt idx="13">
                  <c:v>31.864199999999997</c:v>
                </c:pt>
                <c:pt idx="14">
                  <c:v>33.715199999999996</c:v>
                </c:pt>
                <c:pt idx="15">
                  <c:v>35.4392</c:v>
                </c:pt>
                <c:pt idx="16">
                  <c:v>37.040399999999991</c:v>
                </c:pt>
                <c:pt idx="17">
                  <c:v>38.522999999999989</c:v>
                </c:pt>
                <c:pt idx="18">
                  <c:v>39.891199999999998</c:v>
                </c:pt>
                <c:pt idx="19">
                  <c:v>41.1492</c:v>
                </c:pt>
                <c:pt idx="20">
                  <c:v>42.301199999999994</c:v>
                </c:pt>
                <c:pt idx="21">
                  <c:v>43.351399999999991</c:v>
                </c:pt>
                <c:pt idx="22">
                  <c:v>44.303999999999988</c:v>
                </c:pt>
                <c:pt idx="23">
                  <c:v>45.163199999999989</c:v>
                </c:pt>
                <c:pt idx="24">
                  <c:v>45.933199999999999</c:v>
                </c:pt>
                <c:pt idx="25">
                  <c:v>46.618200000000002</c:v>
                </c:pt>
                <c:pt idx="26">
                  <c:v>47.2224</c:v>
                </c:pt>
                <c:pt idx="27">
                  <c:v>47.749999999999986</c:v>
                </c:pt>
                <c:pt idx="28">
                  <c:v>48.205199999999991</c:v>
                </c:pt>
                <c:pt idx="29">
                  <c:v>48.592200000000005</c:v>
                </c:pt>
                <c:pt idx="30">
                  <c:v>48.915199999999999</c:v>
                </c:pt>
                <c:pt idx="31">
                  <c:v>49.178399999999996</c:v>
                </c:pt>
                <c:pt idx="32">
                  <c:v>49.385999999999996</c:v>
                </c:pt>
                <c:pt idx="33">
                  <c:v>49.54219999999998</c:v>
                </c:pt>
                <c:pt idx="34">
                  <c:v>49.651199999999989</c:v>
                </c:pt>
                <c:pt idx="35">
                  <c:v>49.717199999999977</c:v>
                </c:pt>
                <c:pt idx="36">
                  <c:v>49.74439999999997</c:v>
                </c:pt>
                <c:pt idx="37">
                  <c:v>49.737000000000009</c:v>
                </c:pt>
                <c:pt idx="38">
                  <c:v>49.699200000000005</c:v>
                </c:pt>
                <c:pt idx="39">
                  <c:v>49.635199999999998</c:v>
                </c:pt>
                <c:pt idx="40">
                  <c:v>49.549199999999999</c:v>
                </c:pt>
                <c:pt idx="41">
                  <c:v>49.445399999999992</c:v>
                </c:pt>
                <c:pt idx="42">
                  <c:v>49.327999999999989</c:v>
                </c:pt>
                <c:pt idx="43">
                  <c:v>49.201199999999972</c:v>
                </c:pt>
                <c:pt idx="44">
                  <c:v>49.069199999999981</c:v>
                </c:pt>
                <c:pt idx="45">
                  <c:v>48.936199999999971</c:v>
                </c:pt>
                <c:pt idx="46">
                  <c:v>48.806399999999982</c:v>
                </c:pt>
                <c:pt idx="47">
                  <c:v>48.683999999999983</c:v>
                </c:pt>
                <c:pt idx="48">
                  <c:v>48.5732</c:v>
                </c:pt>
                <c:pt idx="49">
                  <c:v>48.478200000000001</c:v>
                </c:pt>
                <c:pt idx="50">
                  <c:v>48.403199999999984</c:v>
                </c:pt>
                <c:pt idx="51">
                  <c:v>48.352400000000003</c:v>
                </c:pt>
                <c:pt idx="52">
                  <c:v>48.32999999999997</c:v>
                </c:pt>
                <c:pt idx="53">
                  <c:v>48.340200000000024</c:v>
                </c:pt>
                <c:pt idx="54">
                  <c:v>48.387199999999993</c:v>
                </c:pt>
                <c:pt idx="55">
                  <c:v>48.475199999999958</c:v>
                </c:pt>
                <c:pt idx="56">
                  <c:v>48.608399999999946</c:v>
                </c:pt>
                <c:pt idx="57">
                  <c:v>48.790999999999983</c:v>
                </c:pt>
                <c:pt idx="58">
                  <c:v>49.027200000000008</c:v>
                </c:pt>
                <c:pt idx="59">
                  <c:v>49.32119999999999</c:v>
                </c:pt>
              </c:numCache>
            </c:numRef>
          </c:val>
          <c:smooth val="0"/>
          <c:extLst>
            <c:ext xmlns:c16="http://schemas.microsoft.com/office/drawing/2014/chart" uri="{C3380CC4-5D6E-409C-BE32-E72D297353CC}">
              <c16:uniqueId val="{00000001-A473-472A-B3C1-B616F7782F46}"/>
            </c:ext>
          </c:extLst>
        </c:ser>
        <c:dLbls>
          <c:showLegendKey val="0"/>
          <c:showVal val="0"/>
          <c:showCatName val="0"/>
          <c:showSerName val="0"/>
          <c:showPercent val="0"/>
          <c:showBubbleSize val="0"/>
        </c:dLbls>
        <c:smooth val="0"/>
        <c:axId val="223418456"/>
        <c:axId val="223418840"/>
      </c:lineChart>
      <c:catAx>
        <c:axId val="223418456"/>
        <c:scaling>
          <c:orientation val="minMax"/>
        </c:scaling>
        <c:delete val="0"/>
        <c:axPos val="b"/>
        <c:majorTickMark val="out"/>
        <c:minorTickMark val="none"/>
        <c:tickLblPos val="nextTo"/>
        <c:crossAx val="223418840"/>
        <c:crosses val="autoZero"/>
        <c:auto val="1"/>
        <c:lblAlgn val="ctr"/>
        <c:lblOffset val="100"/>
        <c:noMultiLvlLbl val="0"/>
      </c:catAx>
      <c:valAx>
        <c:axId val="223418840"/>
        <c:scaling>
          <c:orientation val="minMax"/>
        </c:scaling>
        <c:delete val="0"/>
        <c:axPos val="l"/>
        <c:majorGridlines/>
        <c:numFmt formatCode="_(* #,##0.00_);_(* \(#,##0.00\);_(* &quot;-&quot;??_);_(@_)" sourceLinked="1"/>
        <c:majorTickMark val="out"/>
        <c:minorTickMark val="none"/>
        <c:tickLblPos val="nextTo"/>
        <c:crossAx val="223418456"/>
        <c:crosses val="autoZero"/>
        <c:crossBetween val="between"/>
      </c:valAx>
    </c:plotArea>
    <c:legend>
      <c:legendPos val="r"/>
      <c:layout>
        <c:manualLayout>
          <c:xMode val="edge"/>
          <c:yMode val="edge"/>
          <c:x val="0.37450000000000022"/>
          <c:y val="0.76113225430154563"/>
          <c:w val="0.31994444444444475"/>
          <c:h val="0.16743438320209994"/>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3650218722659671"/>
          <c:y val="0.19480351414406533"/>
          <c:w val="0.83234492563429574"/>
          <c:h val="0.5130551910177894"/>
        </c:manualLayout>
      </c:layout>
      <c:lineChart>
        <c:grouping val="standard"/>
        <c:varyColors val="0"/>
        <c:ser>
          <c:idx val="5"/>
          <c:order val="0"/>
          <c:tx>
            <c:strRef>
              <c:f>'Growth models'!$A$7</c:f>
              <c:strCache>
                <c:ptCount val="1"/>
                <c:pt idx="0">
                  <c:v>Nut yield (Poor)</c:v>
                </c:pt>
              </c:strCache>
            </c:strRef>
          </c:tx>
          <c:marker>
            <c:symbol val="none"/>
          </c:marker>
          <c:trendline>
            <c:trendlineType val="poly"/>
            <c:order val="3"/>
            <c:dispRSqr val="1"/>
            <c:dispEq val="1"/>
            <c:trendlineLbl>
              <c:layout>
                <c:manualLayout>
                  <c:x val="4.8028871391076117E-2"/>
                  <c:y val="-0.11694465199149376"/>
                </c:manualLayout>
              </c:layout>
              <c:numFmt formatCode="General" sourceLinked="0"/>
            </c:trendlineLbl>
          </c:trendline>
          <c:val>
            <c:numRef>
              <c:f>'Growth models'!$B$7:$BI$7</c:f>
              <c:numCache>
                <c:formatCode>#,##0.00_);\(#,##0.00\)</c:formatCode>
                <c:ptCount val="60"/>
                <c:pt idx="0">
                  <c:v>-4.0161999999999995</c:v>
                </c:pt>
                <c:pt idx="1">
                  <c:v>-2.0431999999999997</c:v>
                </c:pt>
                <c:pt idx="2">
                  <c:v>-0.16079999999999917</c:v>
                </c:pt>
                <c:pt idx="3">
                  <c:v>1.6328000000000005</c:v>
                </c:pt>
                <c:pt idx="4">
                  <c:v>3.3393999999999995</c:v>
                </c:pt>
                <c:pt idx="5">
                  <c:v>4.9608000000000008</c:v>
                </c:pt>
                <c:pt idx="6">
                  <c:v>6.498800000000001</c:v>
                </c:pt>
                <c:pt idx="7">
                  <c:v>7.9551999999999996</c:v>
                </c:pt>
                <c:pt idx="8">
                  <c:v>9.331800000000003</c:v>
                </c:pt>
                <c:pt idx="9">
                  <c:v>10.6304</c:v>
                </c:pt>
                <c:pt idx="10">
                  <c:v>11.8528</c:v>
                </c:pt>
                <c:pt idx="11">
                  <c:v>13.0008</c:v>
                </c:pt>
                <c:pt idx="12">
                  <c:v>14.076200000000002</c:v>
                </c:pt>
                <c:pt idx="13">
                  <c:v>15.080800000000002</c:v>
                </c:pt>
                <c:pt idx="14">
                  <c:v>16.016399999999997</c:v>
                </c:pt>
                <c:pt idx="15">
                  <c:v>16.884799999999998</c:v>
                </c:pt>
                <c:pt idx="16">
                  <c:v>17.687800000000003</c:v>
                </c:pt>
                <c:pt idx="17">
                  <c:v>18.427199999999999</c:v>
                </c:pt>
                <c:pt idx="18">
                  <c:v>19.104799999999997</c:v>
                </c:pt>
                <c:pt idx="19">
                  <c:v>19.7224</c:v>
                </c:pt>
                <c:pt idx="20">
                  <c:v>20.281799999999997</c:v>
                </c:pt>
                <c:pt idx="21">
                  <c:v>20.784799999999997</c:v>
                </c:pt>
                <c:pt idx="22">
                  <c:v>21.233200000000004</c:v>
                </c:pt>
                <c:pt idx="23">
                  <c:v>21.628799999999998</c:v>
                </c:pt>
                <c:pt idx="24">
                  <c:v>21.973399999999998</c:v>
                </c:pt>
                <c:pt idx="25">
                  <c:v>22.268799999999999</c:v>
                </c:pt>
                <c:pt idx="26">
                  <c:v>22.516799999999996</c:v>
                </c:pt>
                <c:pt idx="27">
                  <c:v>22.719200000000001</c:v>
                </c:pt>
                <c:pt idx="28">
                  <c:v>22.877800000000001</c:v>
                </c:pt>
                <c:pt idx="29">
                  <c:v>22.994399999999999</c:v>
                </c:pt>
                <c:pt idx="30">
                  <c:v>23.070799999999998</c:v>
                </c:pt>
                <c:pt idx="31">
                  <c:v>23.108799999999995</c:v>
                </c:pt>
                <c:pt idx="32">
                  <c:v>23.110199999999999</c:v>
                </c:pt>
                <c:pt idx="33">
                  <c:v>23.076799999999999</c:v>
                </c:pt>
                <c:pt idx="34">
                  <c:v>23.010399999999997</c:v>
                </c:pt>
                <c:pt idx="35">
                  <c:v>22.912800000000004</c:v>
                </c:pt>
                <c:pt idx="36">
                  <c:v>22.785800000000002</c:v>
                </c:pt>
                <c:pt idx="37">
                  <c:v>22.631199999999993</c:v>
                </c:pt>
                <c:pt idx="38">
                  <c:v>22.450799999999994</c:v>
                </c:pt>
                <c:pt idx="39">
                  <c:v>22.246400000000001</c:v>
                </c:pt>
                <c:pt idx="40">
                  <c:v>22.019799999999996</c:v>
                </c:pt>
                <c:pt idx="41">
                  <c:v>21.772799999999997</c:v>
                </c:pt>
                <c:pt idx="42">
                  <c:v>21.50719999999999</c:v>
                </c:pt>
                <c:pt idx="43">
                  <c:v>21.224799999999995</c:v>
                </c:pt>
                <c:pt idx="44">
                  <c:v>20.927399999999984</c:v>
                </c:pt>
                <c:pt idx="45">
                  <c:v>20.616800000000005</c:v>
                </c:pt>
                <c:pt idx="46">
                  <c:v>20.294800000000002</c:v>
                </c:pt>
                <c:pt idx="47">
                  <c:v>19.963199999999993</c:v>
                </c:pt>
                <c:pt idx="48">
                  <c:v>19.623799999999981</c:v>
                </c:pt>
                <c:pt idx="49">
                  <c:v>19.278399999999984</c:v>
                </c:pt>
                <c:pt idx="50">
                  <c:v>18.928799999999988</c:v>
                </c:pt>
                <c:pt idx="51">
                  <c:v>18.576799999999984</c:v>
                </c:pt>
                <c:pt idx="52">
                  <c:v>18.224199999999989</c:v>
                </c:pt>
                <c:pt idx="53">
                  <c:v>17.872799999999991</c:v>
                </c:pt>
                <c:pt idx="54">
                  <c:v>17.524399999999979</c:v>
                </c:pt>
                <c:pt idx="55">
                  <c:v>17.180799999999998</c:v>
                </c:pt>
                <c:pt idx="56">
                  <c:v>16.84379999999998</c:v>
                </c:pt>
                <c:pt idx="57">
                  <c:v>16.5152</c:v>
                </c:pt>
                <c:pt idx="58">
                  <c:v>16.196799999999975</c:v>
                </c:pt>
                <c:pt idx="59">
                  <c:v>15.890399999999994</c:v>
                </c:pt>
              </c:numCache>
            </c:numRef>
          </c:val>
          <c:smooth val="0"/>
          <c:extLst>
            <c:ext xmlns:c16="http://schemas.microsoft.com/office/drawing/2014/chart" uri="{C3380CC4-5D6E-409C-BE32-E72D297353CC}">
              <c16:uniqueId val="{00000001-9657-4601-9F6C-049C7DFBD762}"/>
            </c:ext>
          </c:extLst>
        </c:ser>
        <c:dLbls>
          <c:showLegendKey val="0"/>
          <c:showVal val="0"/>
          <c:showCatName val="0"/>
          <c:showSerName val="0"/>
          <c:showPercent val="0"/>
          <c:showBubbleSize val="0"/>
        </c:dLbls>
        <c:smooth val="0"/>
        <c:axId val="223488224"/>
        <c:axId val="223488608"/>
      </c:lineChart>
      <c:catAx>
        <c:axId val="223488224"/>
        <c:scaling>
          <c:orientation val="minMax"/>
        </c:scaling>
        <c:delete val="0"/>
        <c:axPos val="b"/>
        <c:majorTickMark val="out"/>
        <c:minorTickMark val="none"/>
        <c:tickLblPos val="nextTo"/>
        <c:crossAx val="223488608"/>
        <c:crosses val="autoZero"/>
        <c:auto val="1"/>
        <c:lblAlgn val="ctr"/>
        <c:lblOffset val="100"/>
        <c:noMultiLvlLbl val="0"/>
      </c:catAx>
      <c:valAx>
        <c:axId val="223488608"/>
        <c:scaling>
          <c:orientation val="minMax"/>
        </c:scaling>
        <c:delete val="0"/>
        <c:axPos val="l"/>
        <c:majorGridlines/>
        <c:numFmt formatCode="#,##0.00_);\(#,##0.00\)" sourceLinked="1"/>
        <c:majorTickMark val="out"/>
        <c:minorTickMark val="none"/>
        <c:tickLblPos val="nextTo"/>
        <c:crossAx val="223488224"/>
        <c:crosses val="autoZero"/>
        <c:crossBetween val="between"/>
      </c:valAx>
    </c:plotArea>
    <c:legend>
      <c:legendPos val="r"/>
      <c:layout>
        <c:manualLayout>
          <c:xMode val="edge"/>
          <c:yMode val="edge"/>
          <c:x val="0.34384711286089242"/>
          <c:y val="0.74724336541265657"/>
          <c:w val="0.33115288713910812"/>
          <c:h val="0.16743438320209994"/>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'Financial Analysis'!$B$12</c:f>
              <c:strCache>
                <c:ptCount val="1"/>
                <c:pt idx="0">
                  <c:v>Nut Yield/tree</c:v>
                </c:pt>
              </c:strCache>
            </c:strRef>
          </c:tx>
          <c:trendline>
            <c:trendlineType val="poly"/>
            <c:order val="3"/>
            <c:dispRSqr val="1"/>
            <c:dispEq val="1"/>
            <c:trendlineLbl>
              <c:layout>
                <c:manualLayout>
                  <c:x val="0.14179398524905057"/>
                  <c:y val="-0.11659827467803084"/>
                </c:manualLayout>
              </c:layout>
              <c:numFmt formatCode="General" sourceLinked="0"/>
            </c:trendlineLbl>
          </c:trendline>
          <c:val>
            <c:numRef>
              <c:f>'Financial Analysis'!$D$12:$BK$12</c:f>
              <c:numCache>
                <c:formatCode>General</c:formatCode>
                <c:ptCount val="60"/>
                <c:pt idx="0">
                  <c:v>-10.919588000000001</c:v>
                </c:pt>
                <c:pt idx="1">
                  <c:v>-1.9854240000000007</c:v>
                </c:pt>
                <c:pt idx="2">
                  <c:v>5.1495599999999975</c:v>
                </c:pt>
                <c:pt idx="3">
                  <c:v>14.306747999999995</c:v>
                </c:pt>
                <c:pt idx="4">
                  <c:v>18.518759999999997</c:v>
                </c:pt>
                <c:pt idx="5">
                  <c:v>28.518119999999993</c:v>
                </c:pt>
                <c:pt idx="6">
                  <c:v>38.050771999999995</c:v>
                </c:pt>
                <c:pt idx="7">
                  <c:v>41.272859999999994</c:v>
                </c:pt>
                <c:pt idx="8">
                  <c:v>39.851699999999987</c:v>
                </c:pt>
                <c:pt idx="9">
                  <c:v>48.808039999999991</c:v>
                </c:pt>
                <c:pt idx="10">
                  <c:v>63.576515999999984</c:v>
                </c:pt>
                <c:pt idx="11">
                  <c:v>55.541927999999992</c:v>
                </c:pt>
                <c:pt idx="12">
                  <c:v>76.525999999999968</c:v>
                </c:pt>
                <c:pt idx="13">
                  <c:v>69.281459999999996</c:v>
                </c:pt>
                <c:pt idx="14">
                  <c:v>71.514459999999985</c:v>
                </c:pt>
                <c:pt idx="15">
                  <c:v>76.923979999999986</c:v>
                </c:pt>
                <c:pt idx="16">
                  <c:v>81.293735999999981</c:v>
                </c:pt>
                <c:pt idx="17">
                  <c:v>74.67607999999997</c:v>
                </c:pt>
                <c:pt idx="18">
                  <c:v>76.274699999999996</c:v>
                </c:pt>
                <c:pt idx="19">
                  <c:v>78.646499999999989</c:v>
                </c:pt>
                <c:pt idx="20">
                  <c:v>81.893647999999985</c:v>
                </c:pt>
                <c:pt idx="21">
                  <c:v>82.790699999999987</c:v>
                </c:pt>
                <c:pt idx="22">
                  <c:v>91.343699999999984</c:v>
                </c:pt>
                <c:pt idx="23">
                  <c:v>88.481931999999986</c:v>
                </c:pt>
                <c:pt idx="24">
                  <c:v>87.616499999999988</c:v>
                </c:pt>
                <c:pt idx="25">
                  <c:v>91.253315999999955</c:v>
                </c:pt>
                <c:pt idx="26">
                  <c:v>91.190575999999979</c:v>
                </c:pt>
                <c:pt idx="27">
                  <c:v>99.43483999999998</c:v>
                </c:pt>
                <c:pt idx="28">
                  <c:v>95.428007999999977</c:v>
                </c:pt>
                <c:pt idx="29">
                  <c:v>97.361180000000004</c:v>
                </c:pt>
                <c:pt idx="30">
                  <c:v>97.933771999999976</c:v>
                </c:pt>
                <c:pt idx="31">
                  <c:v>98.376803999999979</c:v>
                </c:pt>
                <c:pt idx="32">
                  <c:v>96.199179999999984</c:v>
                </c:pt>
                <c:pt idx="33">
                  <c:v>101.40843599999998</c:v>
                </c:pt>
                <c:pt idx="34">
                  <c:v>97.751159999999999</c:v>
                </c:pt>
                <c:pt idx="35">
                  <c:v>100.25823999999997</c:v>
                </c:pt>
                <c:pt idx="36">
                  <c:v>96.409852000000001</c:v>
                </c:pt>
                <c:pt idx="37">
                  <c:v>94.989360000000019</c:v>
                </c:pt>
                <c:pt idx="38">
                  <c:v>98.487403999999984</c:v>
                </c:pt>
                <c:pt idx="39">
                  <c:v>93.196499999999986</c:v>
                </c:pt>
                <c:pt idx="40">
                  <c:v>96.547463999999934</c:v>
                </c:pt>
                <c:pt idx="41">
                  <c:v>92.42069999999994</c:v>
                </c:pt>
                <c:pt idx="42">
                  <c:v>91.963499999999982</c:v>
                </c:pt>
                <c:pt idx="43">
                  <c:v>98.787275999999963</c:v>
                </c:pt>
                <c:pt idx="44">
                  <c:v>92.159119999999987</c:v>
                </c:pt>
                <c:pt idx="45">
                  <c:v>97.633188000000004</c:v>
                </c:pt>
                <c:pt idx="46">
                  <c:v>89.840699999999984</c:v>
                </c:pt>
                <c:pt idx="47">
                  <c:v>90.462799999999973</c:v>
                </c:pt>
                <c:pt idx="48">
                  <c:v>89.886415999999969</c:v>
                </c:pt>
                <c:pt idx="49">
                  <c:v>89.316719999999989</c:v>
                </c:pt>
                <c:pt idx="50">
                  <c:v>89.928915999999987</c:v>
                </c:pt>
                <c:pt idx="51">
                  <c:v>90.548327999999913</c:v>
                </c:pt>
                <c:pt idx="52">
                  <c:v>87.720719999999972</c:v>
                </c:pt>
                <c:pt idx="53">
                  <c:v>90.694844000000003</c:v>
                </c:pt>
                <c:pt idx="54">
                  <c:v>91.393599999999964</c:v>
                </c:pt>
                <c:pt idx="55">
                  <c:v>90.997439999999997</c:v>
                </c:pt>
                <c:pt idx="56">
                  <c:v>84.995699999999999</c:v>
                </c:pt>
                <c:pt idx="57">
                  <c:v>91.525139999999965</c:v>
                </c:pt>
                <c:pt idx="58">
                  <c:v>85.694255999999996</c:v>
                </c:pt>
                <c:pt idx="59">
                  <c:v>86.718940000000003</c:v>
                </c:pt>
              </c:numCache>
            </c:numRef>
          </c:val>
          <c:smooth val="0"/>
          <c:extLst>
            <c:ext xmlns:c16="http://schemas.microsoft.com/office/drawing/2014/chart" uri="{C3380CC4-5D6E-409C-BE32-E72D297353CC}">
              <c16:uniqueId val="{00000001-7DBC-40BA-AD8E-192273BEFDAA}"/>
            </c:ext>
          </c:extLst>
        </c:ser>
        <c:dLbls>
          <c:showLegendKey val="0"/>
          <c:showVal val="0"/>
          <c:showCatName val="0"/>
          <c:showSerName val="0"/>
          <c:showPercent val="0"/>
          <c:showBubbleSize val="0"/>
        </c:dLbls>
        <c:marker val="1"/>
        <c:smooth val="0"/>
        <c:axId val="223526048"/>
        <c:axId val="223507200"/>
      </c:lineChart>
      <c:catAx>
        <c:axId val="223526048"/>
        <c:scaling>
          <c:orientation val="minMax"/>
        </c:scaling>
        <c:delete val="0"/>
        <c:axPos val="b"/>
        <c:majorTickMark val="out"/>
        <c:minorTickMark val="none"/>
        <c:tickLblPos val="nextTo"/>
        <c:crossAx val="223507200"/>
        <c:crosses val="autoZero"/>
        <c:auto val="1"/>
        <c:lblAlgn val="ctr"/>
        <c:lblOffset val="100"/>
        <c:noMultiLvlLbl val="0"/>
      </c:catAx>
      <c:valAx>
        <c:axId val="223507200"/>
        <c:scaling>
          <c:orientation val="minMax"/>
        </c:scaling>
        <c:delete val="0"/>
        <c:axPos val="l"/>
        <c:majorGridlines/>
        <c:numFmt formatCode="General" sourceLinked="1"/>
        <c:majorTickMark val="out"/>
        <c:minorTickMark val="none"/>
        <c:tickLblPos val="nextTo"/>
        <c:crossAx val="223526048"/>
        <c:crosses val="autoZero"/>
        <c:crossBetween val="between"/>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xdr:colOff>
          <xdr:row>7</xdr:row>
          <xdr:rowOff>12700</xdr:rowOff>
        </xdr:from>
        <xdr:to>
          <xdr:col>17</xdr:col>
          <xdr:colOff>298450</xdr:colOff>
          <xdr:row>10</xdr:row>
          <xdr:rowOff>12700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Return to Management Input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xdr:colOff>
          <xdr:row>30</xdr:row>
          <xdr:rowOff>107950</xdr:rowOff>
        </xdr:from>
        <xdr:to>
          <xdr:col>17</xdr:col>
          <xdr:colOff>298450</xdr:colOff>
          <xdr:row>33</xdr:row>
          <xdr:rowOff>107950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Return to Management Input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xdr:colOff>
          <xdr:row>72</xdr:row>
          <xdr:rowOff>127000</xdr:rowOff>
        </xdr:from>
        <xdr:to>
          <xdr:col>17</xdr:col>
          <xdr:colOff>209550</xdr:colOff>
          <xdr:row>75</xdr:row>
          <xdr:rowOff>31750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Return to Management Input Page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xdr:colOff>
          <xdr:row>92</xdr:row>
          <xdr:rowOff>76200</xdr:rowOff>
        </xdr:from>
        <xdr:to>
          <xdr:col>17</xdr:col>
          <xdr:colOff>381000</xdr:colOff>
          <xdr:row>95</xdr:row>
          <xdr:rowOff>38100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Return to Management Input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xdr:colOff>
          <xdr:row>103</xdr:row>
          <xdr:rowOff>12700</xdr:rowOff>
        </xdr:from>
        <xdr:to>
          <xdr:col>17</xdr:col>
          <xdr:colOff>381000</xdr:colOff>
          <xdr:row>105</xdr:row>
          <xdr:rowOff>95250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Return to Management Input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xdr:colOff>
          <xdr:row>112</xdr:row>
          <xdr:rowOff>76200</xdr:rowOff>
        </xdr:from>
        <xdr:to>
          <xdr:col>17</xdr:col>
          <xdr:colOff>381000</xdr:colOff>
          <xdr:row>115</xdr:row>
          <xdr:rowOff>38100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Return to Management Input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131</xdr:row>
          <xdr:rowOff>50800</xdr:rowOff>
        </xdr:from>
        <xdr:to>
          <xdr:col>18</xdr:col>
          <xdr:colOff>31750</xdr:colOff>
          <xdr:row>134</xdr:row>
          <xdr:rowOff>12700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Return to Management Input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xdr:colOff>
          <xdr:row>178</xdr:row>
          <xdr:rowOff>69850</xdr:rowOff>
        </xdr:from>
        <xdr:to>
          <xdr:col>17</xdr:col>
          <xdr:colOff>393700</xdr:colOff>
          <xdr:row>181</xdr:row>
          <xdr:rowOff>31750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Return to Management Input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xdr:colOff>
          <xdr:row>217</xdr:row>
          <xdr:rowOff>76200</xdr:rowOff>
        </xdr:from>
        <xdr:to>
          <xdr:col>17</xdr:col>
          <xdr:colOff>381000</xdr:colOff>
          <xdr:row>220</xdr:row>
          <xdr:rowOff>38100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Return to Management Input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253</xdr:row>
          <xdr:rowOff>76200</xdr:rowOff>
        </xdr:from>
        <xdr:to>
          <xdr:col>18</xdr:col>
          <xdr:colOff>31750</xdr:colOff>
          <xdr:row>256</xdr:row>
          <xdr:rowOff>38100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Return to Management Input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31750</xdr:colOff>
          <xdr:row>293</xdr:row>
          <xdr:rowOff>107950</xdr:rowOff>
        </xdr:from>
        <xdr:to>
          <xdr:col>18</xdr:col>
          <xdr:colOff>0</xdr:colOff>
          <xdr:row>296</xdr:row>
          <xdr:rowOff>69850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Return to Management Input Page</a:t>
              </a:r>
            </a:p>
          </xdr:txBody>
        </xdr:sp>
        <xdr:clientData fPrintsWithSheet="0"/>
      </xdr:twoCellAnchor>
    </mc:Choice>
    <mc:Fallback/>
  </mc:AlternateContent>
  <xdr:twoCellAnchor editAs="oneCell">
    <xdr:from>
      <xdr:col>9</xdr:col>
      <xdr:colOff>400050</xdr:colOff>
      <xdr:row>143</xdr:row>
      <xdr:rowOff>38100</xdr:rowOff>
    </xdr:from>
    <xdr:to>
      <xdr:col>15</xdr:col>
      <xdr:colOff>50800</xdr:colOff>
      <xdr:row>169</xdr:row>
      <xdr:rowOff>82550</xdr:rowOff>
    </xdr:to>
    <xdr:sp macro="" textlink="">
      <xdr:nvSpPr>
        <xdr:cNvPr id="2060" name="AutoShape 12">
          <a:extLst>
            <a:ext uri="{FF2B5EF4-FFF2-40B4-BE49-F238E27FC236}">
              <a16:creationId xmlns:a16="http://schemas.microsoft.com/office/drawing/2014/main" id="{00000000-0008-0000-0400-00000C080000}"/>
            </a:ext>
          </a:extLst>
        </xdr:cNvPr>
        <xdr:cNvSpPr>
          <a:spLocks noChangeAspect="1" noChangeArrowheads="1"/>
        </xdr:cNvSpPr>
      </xdr:nvSpPr>
      <xdr:spPr bwMode="auto">
        <a:xfrm>
          <a:off x="5886450" y="26803350"/>
          <a:ext cx="3308350" cy="48641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104774</xdr:colOff>
      <xdr:row>8</xdr:row>
      <xdr:rowOff>0</xdr:rowOff>
    </xdr:from>
    <xdr:to>
      <xdr:col>5</xdr:col>
      <xdr:colOff>447674</xdr:colOff>
      <xdr:row>22</xdr:row>
      <xdr:rowOff>85726</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180975</xdr:colOff>
      <xdr:row>7</xdr:row>
      <xdr:rowOff>171450</xdr:rowOff>
    </xdr:from>
    <xdr:to>
      <xdr:col>13</xdr:col>
      <xdr:colOff>485775</xdr:colOff>
      <xdr:row>22</xdr:row>
      <xdr:rowOff>66675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295275</xdr:colOff>
      <xdr:row>8</xdr:row>
      <xdr:rowOff>9525</xdr:rowOff>
    </xdr:from>
    <xdr:to>
      <xdr:col>21</xdr:col>
      <xdr:colOff>600075</xdr:colOff>
      <xdr:row>22</xdr:row>
      <xdr:rowOff>85725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276225</xdr:colOff>
      <xdr:row>8</xdr:row>
      <xdr:rowOff>19050</xdr:rowOff>
    </xdr:from>
    <xdr:to>
      <xdr:col>29</xdr:col>
      <xdr:colOff>581025</xdr:colOff>
      <xdr:row>22</xdr:row>
      <xdr:rowOff>95250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619125</xdr:colOff>
      <xdr:row>39</xdr:row>
      <xdr:rowOff>180976</xdr:rowOff>
    </xdr:from>
    <xdr:to>
      <xdr:col>15</xdr:col>
      <xdr:colOff>295275</xdr:colOff>
      <xdr:row>67</xdr:row>
      <xdr:rowOff>161926</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centerforagroforestry.org/pubs/chestnu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B78"/>
  <sheetViews>
    <sheetView showGridLines="0" showRowColHeaders="0" showWhiteSpace="0" topLeftCell="A7" zoomScale="80" zoomScaleNormal="80" workbookViewId="0">
      <selection activeCell="E24" sqref="E24:G24"/>
    </sheetView>
  </sheetViews>
  <sheetFormatPr defaultRowHeight="14.5" x14ac:dyDescent="0.35"/>
  <cols>
    <col min="4" max="4" width="27.1796875" customWidth="1"/>
    <col min="5" max="5" width="11.26953125" customWidth="1"/>
    <col min="6" max="6" width="8.81640625" customWidth="1"/>
    <col min="7" max="7" width="10.26953125" customWidth="1"/>
    <col min="10" max="10" width="9.1796875" customWidth="1"/>
    <col min="11" max="11" width="4.54296875" customWidth="1"/>
    <col min="12" max="12" width="4.453125" customWidth="1"/>
    <col min="16" max="16" width="7.26953125" customWidth="1"/>
    <col min="17" max="17" width="12.81640625" customWidth="1"/>
    <col min="19" max="19" width="13.453125" customWidth="1"/>
    <col min="20" max="20" width="14.26953125" customWidth="1"/>
  </cols>
  <sheetData>
    <row r="1" spans="1:28" ht="27.75" customHeight="1" x14ac:dyDescent="0.7">
      <c r="A1" s="10"/>
      <c r="B1" s="10"/>
      <c r="C1" s="10"/>
      <c r="D1" s="169" t="s">
        <v>183</v>
      </c>
      <c r="E1" s="170"/>
      <c r="F1" s="170"/>
      <c r="G1" s="170"/>
      <c r="H1" s="170"/>
      <c r="I1" s="170"/>
      <c r="J1" s="170"/>
      <c r="K1" s="170"/>
      <c r="L1" s="170"/>
      <c r="M1" s="170"/>
      <c r="N1" s="170"/>
      <c r="O1" s="170"/>
      <c r="P1" s="170"/>
      <c r="Q1" s="170"/>
      <c r="R1" s="170"/>
      <c r="S1" s="170"/>
      <c r="T1" s="171"/>
      <c r="U1" s="10"/>
      <c r="V1" s="10"/>
      <c r="W1" s="10"/>
      <c r="X1" s="10"/>
      <c r="Y1" s="10"/>
      <c r="Z1" s="10"/>
      <c r="AA1" s="10"/>
      <c r="AB1" s="10"/>
    </row>
    <row r="2" spans="1:28" x14ac:dyDescent="0.35">
      <c r="A2" s="10"/>
      <c r="B2" s="10"/>
      <c r="C2" s="10"/>
      <c r="D2" s="1"/>
      <c r="E2" s="2"/>
      <c r="F2" s="173" t="s">
        <v>230</v>
      </c>
      <c r="G2" s="173"/>
      <c r="H2" s="173"/>
      <c r="I2" s="173"/>
      <c r="J2" s="173"/>
      <c r="K2" s="173"/>
      <c r="L2" s="173"/>
      <c r="M2" s="173"/>
      <c r="N2" s="173"/>
      <c r="O2" s="173"/>
      <c r="P2" s="2"/>
      <c r="Q2" s="3"/>
      <c r="R2" s="3"/>
      <c r="S2" s="3"/>
      <c r="T2" s="4"/>
      <c r="U2" s="10"/>
      <c r="V2" s="10"/>
      <c r="W2" s="10"/>
      <c r="X2" s="10"/>
      <c r="Y2" s="10"/>
      <c r="Z2" s="10"/>
      <c r="AA2" s="10"/>
      <c r="AB2" s="10"/>
    </row>
    <row r="3" spans="1:28" ht="18.75" customHeight="1" x14ac:dyDescent="0.45">
      <c r="A3" s="10"/>
      <c r="B3" s="10"/>
      <c r="C3" s="10"/>
      <c r="D3" s="172" t="s">
        <v>0</v>
      </c>
      <c r="E3" s="172"/>
      <c r="F3" s="6"/>
      <c r="G3" s="6"/>
      <c r="H3" s="6"/>
      <c r="I3" s="6"/>
      <c r="J3" s="6"/>
      <c r="K3" s="6"/>
      <c r="L3" s="10"/>
      <c r="M3" s="172" t="s">
        <v>37</v>
      </c>
      <c r="N3" s="172"/>
      <c r="O3" s="172"/>
      <c r="P3" s="172"/>
      <c r="Q3" s="172"/>
      <c r="R3" s="6"/>
      <c r="S3" s="6"/>
      <c r="T3" s="6"/>
      <c r="U3" s="10"/>
      <c r="V3" s="10"/>
      <c r="W3" s="10"/>
      <c r="X3" s="10"/>
      <c r="Y3" s="10"/>
      <c r="Z3" s="10"/>
      <c r="AA3" s="10"/>
      <c r="AB3" s="10"/>
    </row>
    <row r="4" spans="1:28" ht="15" customHeight="1" x14ac:dyDescent="0.35">
      <c r="A4" s="10"/>
      <c r="B4" s="10"/>
      <c r="C4" s="10"/>
      <c r="D4" s="27" t="s">
        <v>96</v>
      </c>
      <c r="E4" s="161" t="s">
        <v>57</v>
      </c>
      <c r="F4" s="162"/>
      <c r="G4" s="163"/>
      <c r="H4" s="6"/>
      <c r="I4" s="8"/>
      <c r="J4" s="6"/>
      <c r="K4" s="6"/>
      <c r="L4" s="10"/>
      <c r="M4" s="6"/>
      <c r="N4" s="168" t="s">
        <v>113</v>
      </c>
      <c r="O4" s="168"/>
      <c r="P4" s="161" t="s">
        <v>117</v>
      </c>
      <c r="Q4" s="162"/>
      <c r="R4" s="163"/>
      <c r="S4" s="6"/>
      <c r="T4" s="6"/>
      <c r="U4" s="10"/>
      <c r="V4" s="10"/>
      <c r="W4" s="10"/>
      <c r="X4" s="10"/>
      <c r="Y4" s="10"/>
      <c r="Z4" s="10"/>
      <c r="AA4" s="10"/>
      <c r="AB4" s="10"/>
    </row>
    <row r="5" spans="1:28" ht="15" customHeight="1" x14ac:dyDescent="0.35">
      <c r="A5" s="10"/>
      <c r="B5" s="10"/>
      <c r="C5" s="10"/>
      <c r="D5" s="6"/>
      <c r="E5" s="6"/>
      <c r="F5" s="6"/>
      <c r="G5" s="6"/>
      <c r="H5" s="6"/>
      <c r="I5" s="6"/>
      <c r="J5" s="6"/>
      <c r="K5" s="6"/>
      <c r="L5" s="10"/>
      <c r="M5" s="6"/>
      <c r="N5" s="6"/>
      <c r="O5" s="6"/>
      <c r="P5" s="6"/>
      <c r="Q5" s="6"/>
      <c r="R5" s="6"/>
      <c r="S5" s="6"/>
      <c r="T5" s="6"/>
      <c r="U5" s="10"/>
      <c r="V5" s="10"/>
      <c r="W5" s="10"/>
      <c r="X5" s="10"/>
      <c r="Y5" s="10"/>
      <c r="Z5" s="10"/>
      <c r="AA5" s="10"/>
      <c r="AB5" s="10"/>
    </row>
    <row r="6" spans="1:28" ht="15" customHeight="1" x14ac:dyDescent="0.35">
      <c r="A6" s="10"/>
      <c r="B6" s="10"/>
      <c r="C6" s="10"/>
      <c r="D6" s="28" t="s">
        <v>9</v>
      </c>
      <c r="E6" s="7">
        <v>30</v>
      </c>
      <c r="F6" s="111" t="s">
        <v>2</v>
      </c>
      <c r="G6" s="7">
        <v>30</v>
      </c>
      <c r="H6" s="6"/>
      <c r="I6" s="8"/>
      <c r="J6" s="6"/>
      <c r="K6" s="6"/>
      <c r="L6" s="10"/>
      <c r="M6" s="6"/>
      <c r="N6" s="168" t="s">
        <v>129</v>
      </c>
      <c r="O6" s="168"/>
      <c r="P6" s="168"/>
      <c r="Q6" s="44">
        <v>0.05</v>
      </c>
      <c r="R6" s="155" t="s">
        <v>130</v>
      </c>
      <c r="S6" s="155"/>
      <c r="T6" s="155"/>
      <c r="U6" s="10"/>
      <c r="V6" s="10"/>
      <c r="W6" s="10"/>
      <c r="X6" s="10"/>
      <c r="Y6" s="10"/>
      <c r="Z6" s="10"/>
      <c r="AA6" s="10"/>
      <c r="AB6" s="10"/>
    </row>
    <row r="7" spans="1:28" ht="15" customHeight="1" x14ac:dyDescent="0.35">
      <c r="A7" s="10"/>
      <c r="B7" s="10"/>
      <c r="C7" s="10"/>
      <c r="D7" s="6"/>
      <c r="E7" s="6"/>
      <c r="F7" s="6"/>
      <c r="G7" s="6"/>
      <c r="H7" s="6"/>
      <c r="I7" s="6"/>
      <c r="J7" s="6"/>
      <c r="K7" s="6"/>
      <c r="L7" s="10"/>
      <c r="M7" s="6"/>
      <c r="N7" s="6"/>
      <c r="O7" s="6"/>
      <c r="P7" s="6"/>
      <c r="Q7" s="6"/>
      <c r="R7" s="155"/>
      <c r="S7" s="155"/>
      <c r="T7" s="155"/>
      <c r="U7" s="10"/>
      <c r="V7" s="10"/>
      <c r="W7" s="10"/>
      <c r="X7" s="10"/>
      <c r="Y7" s="10"/>
      <c r="Z7" s="10"/>
      <c r="AA7" s="10"/>
      <c r="AB7" s="10"/>
    </row>
    <row r="8" spans="1:28" ht="15" customHeight="1" x14ac:dyDescent="0.35">
      <c r="A8" s="10"/>
      <c r="B8" s="10"/>
      <c r="C8" s="10"/>
      <c r="D8" s="28" t="s">
        <v>3</v>
      </c>
      <c r="E8" s="161" t="s">
        <v>8</v>
      </c>
      <c r="F8" s="163"/>
      <c r="G8" s="6"/>
      <c r="H8" s="6"/>
      <c r="I8" s="8"/>
      <c r="J8" s="6"/>
      <c r="K8" s="6"/>
      <c r="L8" s="10"/>
      <c r="M8" s="6"/>
      <c r="N8" s="131" t="s">
        <v>190</v>
      </c>
      <c r="O8" s="131"/>
      <c r="P8" s="132"/>
      <c r="Q8" s="133">
        <v>3</v>
      </c>
      <c r="R8" s="6"/>
      <c r="S8" s="8"/>
      <c r="T8" s="6"/>
      <c r="U8" s="10"/>
      <c r="V8" s="10"/>
      <c r="W8" s="10"/>
      <c r="X8" s="10"/>
      <c r="Y8" s="10"/>
      <c r="Z8" s="10"/>
      <c r="AA8" s="10"/>
      <c r="AB8" s="10"/>
    </row>
    <row r="9" spans="1:28" x14ac:dyDescent="0.35">
      <c r="A9" s="10"/>
      <c r="B9" s="10"/>
      <c r="C9" s="10"/>
      <c r="D9" s="6"/>
      <c r="E9" s="6"/>
      <c r="F9" s="6"/>
      <c r="G9" s="6"/>
      <c r="H9" s="6"/>
      <c r="I9" s="6"/>
      <c r="J9" s="6"/>
      <c r="K9" s="6"/>
      <c r="L9" s="10"/>
      <c r="M9" s="6"/>
      <c r="N9" s="6"/>
      <c r="O9" s="6"/>
      <c r="P9" s="12"/>
      <c r="Q9" s="12"/>
      <c r="R9" s="12"/>
      <c r="S9" s="6"/>
      <c r="T9" s="6"/>
      <c r="U9" s="10"/>
      <c r="V9" s="10"/>
      <c r="W9" s="10"/>
      <c r="X9" s="10"/>
      <c r="Y9" s="10"/>
      <c r="Z9" s="10"/>
      <c r="AA9" s="10"/>
      <c r="AB9" s="10"/>
    </row>
    <row r="10" spans="1:28" x14ac:dyDescent="0.35">
      <c r="A10" s="10"/>
      <c r="B10" s="10"/>
      <c r="C10" s="10"/>
      <c r="D10" s="128" t="s">
        <v>187</v>
      </c>
      <c r="E10" s="86" t="s">
        <v>191</v>
      </c>
      <c r="F10" s="175"/>
      <c r="G10" s="176"/>
      <c r="H10" s="176"/>
      <c r="I10" s="176"/>
      <c r="J10" s="6"/>
      <c r="K10" s="6"/>
      <c r="L10" s="10"/>
      <c r="M10" s="6"/>
      <c r="N10" s="6" t="s">
        <v>229</v>
      </c>
      <c r="O10" s="6"/>
      <c r="P10" s="6"/>
      <c r="Q10" s="6"/>
      <c r="R10" s="7">
        <v>8</v>
      </c>
      <c r="S10" s="6"/>
      <c r="T10" s="6"/>
      <c r="U10" s="10"/>
      <c r="V10" s="10"/>
      <c r="W10" s="10"/>
      <c r="X10" s="10"/>
      <c r="Y10" s="10"/>
      <c r="Z10" s="10"/>
      <c r="AA10" s="10"/>
      <c r="AB10" s="10"/>
    </row>
    <row r="11" spans="1:28" x14ac:dyDescent="0.35">
      <c r="A11" s="10"/>
      <c r="B11" s="10"/>
      <c r="C11" s="10"/>
      <c r="D11" s="6"/>
      <c r="E11" s="6"/>
      <c r="F11" s="6"/>
      <c r="G11" s="174" t="s">
        <v>109</v>
      </c>
      <c r="H11" s="6"/>
      <c r="I11" s="6"/>
      <c r="J11" s="6"/>
      <c r="K11" s="6"/>
      <c r="L11" s="10"/>
      <c r="M11" s="6"/>
      <c r="N11" s="6"/>
      <c r="O11" s="6"/>
      <c r="P11" s="6"/>
      <c r="Q11" s="6"/>
      <c r="R11" s="6"/>
      <c r="S11" s="6"/>
      <c r="T11" s="6"/>
      <c r="U11" s="10"/>
      <c r="V11" s="10"/>
      <c r="W11" s="10"/>
      <c r="X11" s="10"/>
      <c r="Y11" s="10"/>
      <c r="Z11" s="10"/>
      <c r="AA11" s="10"/>
      <c r="AB11" s="10"/>
    </row>
    <row r="12" spans="1:28" x14ac:dyDescent="0.35">
      <c r="A12" s="10"/>
      <c r="B12" s="10"/>
      <c r="C12" s="10"/>
      <c r="D12" s="28" t="s">
        <v>7</v>
      </c>
      <c r="E12" s="161" t="s">
        <v>12</v>
      </c>
      <c r="F12" s="163"/>
      <c r="G12" s="174"/>
      <c r="H12" s="161" t="s">
        <v>107</v>
      </c>
      <c r="I12" s="162"/>
      <c r="J12" s="163"/>
      <c r="K12" s="6"/>
      <c r="L12" s="10"/>
      <c r="M12" s="6"/>
      <c r="N12" s="157" t="s">
        <v>226</v>
      </c>
      <c r="O12" s="157"/>
      <c r="P12" s="157"/>
      <c r="Q12" s="157"/>
      <c r="R12" s="157"/>
      <c r="S12" s="157"/>
      <c r="T12" s="6"/>
      <c r="U12" s="10"/>
      <c r="V12" s="10"/>
      <c r="W12" s="10"/>
      <c r="X12" s="10"/>
      <c r="Y12" s="10"/>
      <c r="Z12" s="10"/>
      <c r="AA12" s="10"/>
      <c r="AB12" s="10"/>
    </row>
    <row r="13" spans="1:28" x14ac:dyDescent="0.35">
      <c r="A13" s="10"/>
      <c r="B13" s="10"/>
      <c r="C13" s="10"/>
      <c r="D13" s="6"/>
      <c r="E13" s="6"/>
      <c r="F13" s="6"/>
      <c r="G13" s="6"/>
      <c r="H13" s="6"/>
      <c r="I13" s="6"/>
      <c r="J13" s="6"/>
      <c r="K13" s="6"/>
      <c r="L13" s="10"/>
      <c r="M13" s="6"/>
      <c r="N13" s="157"/>
      <c r="O13" s="157"/>
      <c r="P13" s="157"/>
      <c r="Q13" s="157"/>
      <c r="R13" s="157"/>
      <c r="S13" s="157"/>
      <c r="T13" s="6"/>
      <c r="U13" s="10"/>
      <c r="V13" s="10"/>
      <c r="W13" s="10"/>
      <c r="X13" s="10"/>
      <c r="Y13" s="10"/>
      <c r="Z13" s="10"/>
      <c r="AA13" s="10"/>
      <c r="AB13" s="10"/>
    </row>
    <row r="14" spans="1:28" ht="15" customHeight="1" x14ac:dyDescent="0.35">
      <c r="A14" s="10"/>
      <c r="B14" s="10"/>
      <c r="C14" s="10"/>
      <c r="D14" s="29" t="s">
        <v>16</v>
      </c>
      <c r="E14" s="166" t="s">
        <v>22</v>
      </c>
      <c r="F14" s="178"/>
      <c r="G14" s="167"/>
      <c r="H14" s="6"/>
      <c r="I14" s="8"/>
      <c r="J14" s="6"/>
      <c r="K14" s="6"/>
      <c r="L14" s="10"/>
      <c r="M14" s="6"/>
      <c r="N14" s="157"/>
      <c r="O14" s="157"/>
      <c r="P14" s="157"/>
      <c r="Q14" s="157"/>
      <c r="R14" s="157"/>
      <c r="S14" s="157"/>
      <c r="T14" s="6"/>
      <c r="U14" s="10"/>
      <c r="V14" s="10"/>
      <c r="W14" s="10"/>
      <c r="X14" s="10"/>
      <c r="Y14" s="10"/>
      <c r="Z14" s="10"/>
      <c r="AA14" s="10"/>
      <c r="AB14" s="10"/>
    </row>
    <row r="15" spans="1:28" x14ac:dyDescent="0.35">
      <c r="A15" s="10"/>
      <c r="B15" s="10"/>
      <c r="C15" s="10"/>
      <c r="D15" s="6"/>
      <c r="E15" s="26"/>
      <c r="F15" s="26"/>
      <c r="G15" s="26"/>
      <c r="H15" s="26"/>
      <c r="I15" s="6"/>
      <c r="J15" s="6"/>
      <c r="K15" s="6"/>
      <c r="L15" s="10"/>
      <c r="M15" s="6"/>
      <c r="N15" s="6"/>
      <c r="O15" s="6"/>
      <c r="P15" s="6"/>
      <c r="Q15" s="6"/>
      <c r="R15" s="6"/>
      <c r="S15" s="6"/>
      <c r="T15" s="6"/>
      <c r="U15" s="10"/>
      <c r="V15" s="10"/>
      <c r="W15" s="10"/>
      <c r="X15" s="10"/>
      <c r="Y15" s="10"/>
      <c r="Z15" s="10"/>
      <c r="AA15" s="10"/>
      <c r="AB15" s="10"/>
    </row>
    <row r="16" spans="1:28" x14ac:dyDescent="0.35">
      <c r="A16" s="10"/>
      <c r="B16" s="10"/>
      <c r="C16" s="10"/>
      <c r="D16" s="27" t="s">
        <v>94</v>
      </c>
      <c r="E16" s="161" t="s">
        <v>43</v>
      </c>
      <c r="F16" s="163"/>
      <c r="G16" s="26"/>
      <c r="H16" s="26"/>
      <c r="I16" s="8"/>
      <c r="J16" s="6"/>
      <c r="K16" s="6"/>
      <c r="L16" s="10"/>
      <c r="M16" s="147"/>
      <c r="N16" s="147"/>
      <c r="O16" s="147"/>
      <c r="P16" s="147"/>
      <c r="Q16" s="147"/>
      <c r="R16" s="147"/>
      <c r="S16" s="147"/>
      <c r="T16" s="147"/>
      <c r="U16" s="10"/>
      <c r="V16" s="10"/>
      <c r="W16" s="10"/>
      <c r="X16" s="10"/>
      <c r="Y16" s="10"/>
      <c r="Z16" s="10"/>
      <c r="AA16" s="10"/>
      <c r="AB16" s="10"/>
    </row>
    <row r="17" spans="1:28" x14ac:dyDescent="0.35">
      <c r="A17" s="10"/>
      <c r="B17" s="10"/>
      <c r="C17" s="10"/>
      <c r="D17" s="6"/>
      <c r="E17" s="12"/>
      <c r="F17" s="12"/>
      <c r="G17" s="6"/>
      <c r="H17" s="6"/>
      <c r="I17" s="6"/>
      <c r="J17" s="6"/>
      <c r="K17" s="6"/>
      <c r="L17" s="10"/>
      <c r="M17" s="6"/>
      <c r="N17" s="6"/>
      <c r="O17" s="6"/>
      <c r="P17" s="6"/>
      <c r="Q17" s="6"/>
      <c r="R17" s="6"/>
      <c r="S17" s="6"/>
      <c r="T17" s="6"/>
      <c r="U17" s="10"/>
      <c r="V17" s="10"/>
      <c r="W17" s="10"/>
      <c r="X17" s="10"/>
      <c r="Y17" s="10"/>
      <c r="Z17" s="10"/>
      <c r="AA17" s="10"/>
      <c r="AB17" s="10"/>
    </row>
    <row r="18" spans="1:28" x14ac:dyDescent="0.35">
      <c r="A18" s="10"/>
      <c r="B18" s="10"/>
      <c r="C18" s="10"/>
      <c r="D18" s="129" t="s">
        <v>209</v>
      </c>
      <c r="E18" s="161" t="s">
        <v>211</v>
      </c>
      <c r="F18" s="162"/>
      <c r="G18" s="163"/>
      <c r="H18" s="25"/>
      <c r="I18" s="6"/>
      <c r="J18" s="8"/>
      <c r="K18" s="6"/>
      <c r="L18" s="10"/>
      <c r="M18" s="6"/>
      <c r="N18" s="6"/>
      <c r="O18" s="6"/>
      <c r="P18" s="6"/>
      <c r="Q18" s="6"/>
      <c r="R18" s="6"/>
      <c r="S18" s="6"/>
      <c r="T18" s="6"/>
      <c r="U18" s="10"/>
      <c r="V18" s="10"/>
      <c r="W18" s="10"/>
      <c r="X18" s="10"/>
      <c r="Y18" s="10"/>
      <c r="Z18" s="10"/>
      <c r="AA18" s="10"/>
      <c r="AB18" s="10"/>
    </row>
    <row r="19" spans="1:28" x14ac:dyDescent="0.3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row>
    <row r="20" spans="1:28" ht="18.75" customHeight="1" x14ac:dyDescent="0.45">
      <c r="A20" s="10"/>
      <c r="B20" s="10"/>
      <c r="C20" s="10"/>
      <c r="D20" s="179" t="s">
        <v>23</v>
      </c>
      <c r="E20" s="179"/>
      <c r="F20" s="179"/>
      <c r="G20" s="6"/>
      <c r="H20" s="6"/>
      <c r="I20" s="6"/>
      <c r="J20" s="6"/>
      <c r="K20" s="6"/>
      <c r="L20" s="10"/>
      <c r="M20" s="164" t="s">
        <v>180</v>
      </c>
      <c r="N20" s="164"/>
      <c r="O20" s="164"/>
      <c r="P20" s="164"/>
      <c r="Q20" s="164"/>
      <c r="R20" s="164"/>
      <c r="S20" s="164"/>
      <c r="T20" s="164"/>
      <c r="U20" s="10"/>
      <c r="V20" s="10"/>
      <c r="W20" s="10"/>
      <c r="X20" s="10"/>
      <c r="Y20" s="10"/>
      <c r="Z20" s="10"/>
      <c r="AA20" s="10"/>
      <c r="AB20" s="10"/>
    </row>
    <row r="21" spans="1:28" ht="15" customHeight="1" x14ac:dyDescent="0.45">
      <c r="A21" s="10"/>
      <c r="B21" s="10"/>
      <c r="C21" s="10"/>
      <c r="D21" s="28" t="s">
        <v>95</v>
      </c>
      <c r="E21" s="159">
        <v>0.1</v>
      </c>
      <c r="F21" s="160"/>
      <c r="G21" s="6"/>
      <c r="H21" s="177" t="s">
        <v>25</v>
      </c>
      <c r="I21" s="177"/>
      <c r="J21" s="177"/>
      <c r="K21" s="177"/>
      <c r="L21" s="10"/>
      <c r="M21" s="158" t="s">
        <v>225</v>
      </c>
      <c r="N21" s="158"/>
      <c r="O21" s="158"/>
      <c r="P21" s="158"/>
      <c r="Q21" s="158"/>
      <c r="R21" s="158"/>
      <c r="S21" s="158"/>
      <c r="T21" s="158"/>
      <c r="U21" s="116"/>
      <c r="V21" s="116"/>
      <c r="W21" s="116"/>
      <c r="X21" s="116"/>
      <c r="Y21" s="116"/>
      <c r="Z21" s="116"/>
      <c r="AA21" s="116"/>
      <c r="AB21" s="116"/>
    </row>
    <row r="22" spans="1:28" ht="15" customHeight="1" x14ac:dyDescent="0.45">
      <c r="A22" s="10"/>
      <c r="B22" s="10"/>
      <c r="C22" s="10"/>
      <c r="D22" s="6"/>
      <c r="E22" s="6"/>
      <c r="F22" s="6"/>
      <c r="G22" s="6"/>
      <c r="H22" s="6"/>
      <c r="I22" s="6"/>
      <c r="J22" s="6"/>
      <c r="K22" s="6"/>
      <c r="L22" s="10"/>
      <c r="M22" s="158"/>
      <c r="N22" s="158"/>
      <c r="O22" s="158"/>
      <c r="P22" s="158"/>
      <c r="Q22" s="158"/>
      <c r="R22" s="158"/>
      <c r="S22" s="158"/>
      <c r="T22" s="158"/>
      <c r="U22" s="116"/>
      <c r="V22" s="116"/>
      <c r="W22" s="116"/>
      <c r="X22" s="116"/>
      <c r="Y22" s="116"/>
      <c r="Z22" s="116"/>
      <c r="AA22" s="116"/>
      <c r="AB22" s="116"/>
    </row>
    <row r="23" spans="1:28" ht="15" customHeight="1" x14ac:dyDescent="0.45">
      <c r="A23" s="10"/>
      <c r="B23" s="10"/>
      <c r="C23" s="10"/>
      <c r="D23" s="6"/>
      <c r="E23" s="6"/>
      <c r="F23" s="6"/>
      <c r="G23" s="6"/>
      <c r="H23" s="6"/>
      <c r="I23" s="6"/>
      <c r="J23" s="6"/>
      <c r="K23" s="6"/>
      <c r="L23" s="10"/>
      <c r="M23" s="149"/>
      <c r="N23" s="149"/>
      <c r="O23" s="149"/>
      <c r="P23" s="149"/>
      <c r="Q23" s="149"/>
      <c r="R23" s="149"/>
      <c r="S23" s="149"/>
      <c r="T23" s="149"/>
      <c r="U23" s="116"/>
      <c r="V23" s="116"/>
      <c r="W23" s="116"/>
      <c r="X23" s="116"/>
      <c r="Y23" s="116"/>
      <c r="Z23" s="116"/>
      <c r="AA23" s="116"/>
      <c r="AB23" s="116"/>
    </row>
    <row r="24" spans="1:28" ht="15" customHeight="1" x14ac:dyDescent="0.45">
      <c r="A24" s="10"/>
      <c r="B24" s="10"/>
      <c r="C24" s="10"/>
      <c r="D24" s="28" t="s">
        <v>16</v>
      </c>
      <c r="E24" s="161" t="s">
        <v>46</v>
      </c>
      <c r="F24" s="162"/>
      <c r="G24" s="163"/>
      <c r="H24" s="6"/>
      <c r="I24" s="8"/>
      <c r="J24" s="6"/>
      <c r="K24" s="6"/>
      <c r="L24" s="10"/>
      <c r="M24" s="149"/>
      <c r="N24" s="149"/>
      <c r="O24" s="149"/>
      <c r="P24" s="149"/>
      <c r="Q24" s="146" t="s">
        <v>227</v>
      </c>
      <c r="R24" s="149"/>
      <c r="S24" s="149">
        <f>R10</f>
        <v>8</v>
      </c>
      <c r="T24" s="149" t="s">
        <v>228</v>
      </c>
      <c r="U24" s="116"/>
      <c r="V24" s="116"/>
      <c r="W24" s="116"/>
      <c r="X24" s="116"/>
      <c r="Y24" s="116"/>
      <c r="Z24" s="116"/>
      <c r="AA24" s="116"/>
      <c r="AB24" s="116"/>
    </row>
    <row r="25" spans="1:28" ht="15" customHeight="1" x14ac:dyDescent="0.35">
      <c r="A25" s="10"/>
      <c r="B25" s="10"/>
      <c r="C25" s="10"/>
      <c r="D25" s="6"/>
      <c r="E25" s="168"/>
      <c r="F25" s="168"/>
      <c r="G25" s="6"/>
      <c r="H25" s="6"/>
      <c r="I25" s="6"/>
      <c r="J25" s="6"/>
      <c r="K25" s="6"/>
      <c r="L25" s="10"/>
      <c r="M25" s="165" t="s">
        <v>181</v>
      </c>
      <c r="N25" s="165"/>
      <c r="O25" s="165"/>
      <c r="P25" s="119"/>
      <c r="Q25" s="122">
        <f>'Cost Budgets'!B3</f>
        <v>48.4</v>
      </c>
      <c r="R25" s="145"/>
      <c r="S25" s="145">
        <f>Q25*$S$24</f>
        <v>387.2</v>
      </c>
      <c r="T25" s="145"/>
      <c r="U25" s="117"/>
      <c r="V25" s="117"/>
      <c r="W25" s="117"/>
      <c r="X25" s="10"/>
      <c r="Y25" s="10"/>
      <c r="Z25" s="10"/>
      <c r="AA25" s="10"/>
      <c r="AB25" s="10"/>
    </row>
    <row r="26" spans="1:28" x14ac:dyDescent="0.35">
      <c r="A26" s="10"/>
      <c r="B26" s="10"/>
      <c r="C26" s="10"/>
      <c r="D26" s="28" t="s">
        <v>97</v>
      </c>
      <c r="E26" s="161" t="s">
        <v>47</v>
      </c>
      <c r="F26" s="162"/>
      <c r="G26" s="163"/>
      <c r="H26" s="6"/>
      <c r="I26" s="8"/>
      <c r="J26" s="6"/>
      <c r="K26" s="6"/>
      <c r="L26" s="10"/>
      <c r="M26" s="158" t="s">
        <v>182</v>
      </c>
      <c r="N26" s="158"/>
      <c r="O26" s="158"/>
      <c r="P26" s="119"/>
      <c r="Q26" s="121">
        <f>'Financial Analysis'!C18</f>
        <v>3</v>
      </c>
      <c r="R26" s="145"/>
      <c r="S26" s="145"/>
      <c r="T26" s="145"/>
      <c r="U26" s="117"/>
      <c r="V26" s="117"/>
      <c r="W26" s="117"/>
      <c r="X26" s="10"/>
      <c r="Y26" s="10"/>
      <c r="Z26" s="10"/>
      <c r="AA26" s="10"/>
      <c r="AB26" s="10"/>
    </row>
    <row r="27" spans="1:28" x14ac:dyDescent="0.35">
      <c r="A27" s="10"/>
      <c r="B27" s="10"/>
      <c r="C27" s="10"/>
      <c r="D27" s="6"/>
      <c r="E27" s="6"/>
      <c r="F27" s="6"/>
      <c r="G27" s="6"/>
      <c r="H27" s="6"/>
      <c r="I27" s="6"/>
      <c r="J27" s="6"/>
      <c r="K27" s="6"/>
      <c r="L27" s="10"/>
      <c r="M27" s="165" t="str">
        <f>"PV of Revenues/ac @ "&amp;TEXT(Q6,"0%")</f>
        <v>PV of Revenues/ac @ 5%</v>
      </c>
      <c r="N27" s="165"/>
      <c r="O27" s="165"/>
      <c r="P27" s="119"/>
      <c r="Q27" s="123">
        <f ca="1">IFERROR('Financial Analysis'!D71,0)</f>
        <v>81330.992210587181</v>
      </c>
      <c r="R27" s="145"/>
      <c r="S27" s="151">
        <f ca="1">Q27*$S$24</f>
        <v>650647.93768469745</v>
      </c>
      <c r="T27" s="145"/>
      <c r="U27" s="117"/>
      <c r="V27" s="117"/>
      <c r="W27" s="117"/>
      <c r="X27" s="10"/>
      <c r="Y27" s="10"/>
      <c r="Z27" s="10"/>
      <c r="AA27" s="10"/>
      <c r="AB27" s="10"/>
    </row>
    <row r="28" spans="1:28" x14ac:dyDescent="0.35">
      <c r="A28" s="10"/>
      <c r="B28" s="10"/>
      <c r="C28" s="10"/>
      <c r="D28" s="28" t="s">
        <v>98</v>
      </c>
      <c r="E28" s="161" t="s">
        <v>220</v>
      </c>
      <c r="F28" s="162"/>
      <c r="G28" s="163"/>
      <c r="H28" s="6"/>
      <c r="I28" s="8"/>
      <c r="J28" s="6"/>
      <c r="K28" s="6"/>
      <c r="L28" s="10"/>
      <c r="M28" s="165" t="str">
        <f>"PV of Costs /ac @ "&amp;TEXT(Q6,"0%")</f>
        <v>PV of Costs /ac @ 5%</v>
      </c>
      <c r="N28" s="165"/>
      <c r="O28" s="165"/>
      <c r="P28" s="119"/>
      <c r="Q28" s="123">
        <f ca="1">IFERROR('Financial Analysis'!D73,0)</f>
        <v>34752.991042405258</v>
      </c>
      <c r="R28" s="145"/>
      <c r="S28" s="151">
        <f t="shared" ref="S28:S29" ca="1" si="0">Q28*$S$24</f>
        <v>278023.92833924206</v>
      </c>
      <c r="T28" s="145"/>
      <c r="U28" s="10"/>
      <c r="V28" s="10"/>
      <c r="W28" s="10"/>
      <c r="X28" s="10"/>
      <c r="Y28" s="10"/>
      <c r="Z28" s="10"/>
      <c r="AA28" s="10"/>
      <c r="AB28" s="10"/>
    </row>
    <row r="29" spans="1:28" ht="15" customHeight="1" x14ac:dyDescent="0.35">
      <c r="A29" s="10"/>
      <c r="B29" s="10"/>
      <c r="C29" s="10"/>
      <c r="D29" s="6"/>
      <c r="E29" s="6"/>
      <c r="F29" s="6"/>
      <c r="G29" s="6"/>
      <c r="H29" s="6"/>
      <c r="I29" s="6"/>
      <c r="J29" s="6"/>
      <c r="K29" s="6"/>
      <c r="L29" s="10"/>
      <c r="M29" s="165" t="str">
        <f>"NPV/ac @ "&amp;TEXT(Q6,"0%")</f>
        <v>NPV/ac @ 5%</v>
      </c>
      <c r="N29" s="165"/>
      <c r="O29" s="165"/>
      <c r="P29" s="119"/>
      <c r="Q29" s="123">
        <f ca="1">IFERROR('Financial Analysis'!D75,0)</f>
        <v>46578.001168181923</v>
      </c>
      <c r="R29" s="145"/>
      <c r="S29" s="151">
        <f t="shared" ca="1" si="0"/>
        <v>372624.00934545539</v>
      </c>
      <c r="T29" s="145"/>
      <c r="U29" s="117"/>
      <c r="V29" s="117"/>
      <c r="W29" s="117"/>
      <c r="X29" s="10"/>
      <c r="Y29" s="10"/>
      <c r="Z29" s="10"/>
      <c r="AA29" s="10"/>
      <c r="AB29" s="10"/>
    </row>
    <row r="30" spans="1:28" x14ac:dyDescent="0.35">
      <c r="A30" s="10"/>
      <c r="B30" s="10"/>
      <c r="C30" s="10"/>
      <c r="D30" s="28" t="s">
        <v>99</v>
      </c>
      <c r="E30" s="161" t="s">
        <v>63</v>
      </c>
      <c r="F30" s="163"/>
      <c r="G30" s="6"/>
      <c r="H30" s="6"/>
      <c r="I30" s="8"/>
      <c r="J30" s="6"/>
      <c r="K30" s="6"/>
      <c r="L30" s="10"/>
      <c r="M30" s="165" t="s">
        <v>172</v>
      </c>
      <c r="N30" s="165"/>
      <c r="O30" s="165"/>
      <c r="P30" s="119"/>
      <c r="Q30" s="120">
        <f ca="1">IFERROR('Financial Analysis'!D77,0)</f>
        <v>0.11823104376082361</v>
      </c>
      <c r="R30" s="145"/>
      <c r="S30" s="152">
        <f ca="1">Q30</f>
        <v>0.11823104376082361</v>
      </c>
      <c r="T30" s="145"/>
      <c r="U30" s="117"/>
      <c r="V30" s="117"/>
      <c r="W30" s="117"/>
      <c r="X30" s="10"/>
      <c r="Y30" s="10"/>
      <c r="Z30" s="10"/>
      <c r="AA30" s="10"/>
      <c r="AB30" s="10"/>
    </row>
    <row r="31" spans="1:28" x14ac:dyDescent="0.35">
      <c r="A31" s="10"/>
      <c r="B31" s="10"/>
      <c r="C31" s="10"/>
      <c r="D31" s="6"/>
      <c r="E31" s="6"/>
      <c r="F31" s="6"/>
      <c r="G31" s="6"/>
      <c r="H31" s="6"/>
      <c r="I31" s="6"/>
      <c r="J31" s="6"/>
      <c r="K31" s="6"/>
      <c r="L31" s="10"/>
      <c r="M31" s="165" t="s">
        <v>171</v>
      </c>
      <c r="N31" s="165"/>
      <c r="O31" s="165"/>
      <c r="P31" s="119"/>
      <c r="Q31" s="125">
        <f ca="1">IFERROR('Financial Analysis'!D79,0)</f>
        <v>5</v>
      </c>
      <c r="R31" s="145"/>
      <c r="S31" s="153">
        <f t="shared" ref="S31" ca="1" si="1">Q31</f>
        <v>5</v>
      </c>
      <c r="T31" s="145"/>
      <c r="U31" s="117"/>
      <c r="V31" s="117"/>
      <c r="W31" s="117"/>
      <c r="X31" s="10"/>
      <c r="Y31" s="10"/>
      <c r="Z31" s="10"/>
      <c r="AA31" s="10"/>
      <c r="AB31" s="10"/>
    </row>
    <row r="32" spans="1:28" x14ac:dyDescent="0.35">
      <c r="A32" s="10"/>
      <c r="B32" s="10"/>
      <c r="C32" s="10"/>
      <c r="D32" s="28" t="s">
        <v>100</v>
      </c>
      <c r="E32" s="166" t="s">
        <v>72</v>
      </c>
      <c r="F32" s="167"/>
      <c r="G32" s="6"/>
      <c r="H32" s="6"/>
      <c r="I32" s="6"/>
      <c r="J32" s="6"/>
      <c r="K32" s="6"/>
      <c r="L32" s="10"/>
      <c r="M32" s="165" t="str">
        <f>"AEV/ac @ "&amp;TEXT(Q6,"0%")</f>
        <v>AEV/ac @ 5%</v>
      </c>
      <c r="N32" s="165"/>
      <c r="O32" s="165"/>
      <c r="P32" s="119"/>
      <c r="Q32" s="124">
        <f ca="1">IFERROR('Financial Analysis'!D81,0)</f>
        <v>2460.6312406228253</v>
      </c>
      <c r="R32" s="145"/>
      <c r="S32" s="151">
        <f ca="1">Q32*S24</f>
        <v>19685.049924982603</v>
      </c>
      <c r="T32" s="145"/>
      <c r="U32" s="10"/>
      <c r="V32" s="10"/>
      <c r="W32" s="10"/>
      <c r="X32" s="10"/>
      <c r="Y32" s="10"/>
      <c r="Z32" s="10"/>
      <c r="AA32" s="10"/>
      <c r="AB32" s="10"/>
    </row>
    <row r="33" spans="1:28" ht="15" customHeight="1" x14ac:dyDescent="0.35">
      <c r="A33" s="10"/>
      <c r="B33" s="10"/>
      <c r="C33" s="10"/>
      <c r="D33" s="6"/>
      <c r="E33" s="6"/>
      <c r="F33" s="6"/>
      <c r="G33" s="6"/>
      <c r="H33" s="6"/>
      <c r="I33" s="6"/>
      <c r="J33" s="6"/>
      <c r="K33" s="6"/>
      <c r="L33" s="10"/>
      <c r="M33" s="156" t="str">
        <f ca="1">IF(Q29=0, "The model is indicating that you are not removing enough trees with each thinning.  To correct for this error, either increase your initial tree spacing or increase your thinning percentage"," ")</f>
        <v xml:space="preserve"> </v>
      </c>
      <c r="N33" s="156"/>
      <c r="O33" s="156"/>
      <c r="P33" s="156"/>
      <c r="Q33" s="156"/>
      <c r="R33" s="156"/>
      <c r="S33" s="156"/>
      <c r="T33" s="156"/>
      <c r="U33" s="10"/>
      <c r="V33" s="10"/>
      <c r="W33" s="10"/>
      <c r="X33" s="10"/>
      <c r="Y33" s="10"/>
      <c r="Z33" s="10"/>
      <c r="AA33" s="10"/>
      <c r="AB33" s="10"/>
    </row>
    <row r="34" spans="1:28" ht="15" customHeight="1" x14ac:dyDescent="0.35">
      <c r="A34" s="10"/>
      <c r="B34" s="10"/>
      <c r="C34" s="10"/>
      <c r="D34" s="28" t="s">
        <v>101</v>
      </c>
      <c r="E34" s="161" t="s">
        <v>54</v>
      </c>
      <c r="F34" s="162"/>
      <c r="G34" s="163"/>
      <c r="H34" s="6"/>
      <c r="I34" s="6"/>
      <c r="J34" s="6"/>
      <c r="K34" s="6"/>
      <c r="L34" s="10"/>
      <c r="M34" s="156"/>
      <c r="N34" s="156"/>
      <c r="O34" s="156"/>
      <c r="P34" s="156"/>
      <c r="Q34" s="156"/>
      <c r="R34" s="156"/>
      <c r="S34" s="156"/>
      <c r="T34" s="156"/>
      <c r="U34" s="10"/>
      <c r="V34" s="10"/>
      <c r="W34" s="10"/>
      <c r="X34" s="10"/>
      <c r="Y34" s="10"/>
      <c r="Z34" s="10"/>
      <c r="AA34" s="10"/>
      <c r="AB34" s="10"/>
    </row>
    <row r="35" spans="1:28" ht="15" customHeight="1" x14ac:dyDescent="0.35">
      <c r="A35" s="10"/>
      <c r="B35" s="10"/>
      <c r="C35" s="10"/>
      <c r="D35" s="6"/>
      <c r="E35" s="6"/>
      <c r="F35" s="6"/>
      <c r="G35" s="6"/>
      <c r="H35" s="6"/>
      <c r="I35" s="6"/>
      <c r="J35" s="6"/>
      <c r="K35" s="6"/>
      <c r="L35" s="10"/>
      <c r="M35" s="156"/>
      <c r="N35" s="156"/>
      <c r="O35" s="156"/>
      <c r="P35" s="156"/>
      <c r="Q35" s="156"/>
      <c r="R35" s="156"/>
      <c r="S35" s="156"/>
      <c r="T35" s="156"/>
      <c r="U35" s="10"/>
      <c r="V35" s="10"/>
      <c r="W35" s="10"/>
      <c r="X35" s="10"/>
      <c r="Y35" s="10"/>
      <c r="Z35" s="10"/>
      <c r="AA35" s="10"/>
      <c r="AB35" s="10"/>
    </row>
    <row r="36" spans="1:28" ht="15" customHeight="1" x14ac:dyDescent="0.35">
      <c r="A36" s="10"/>
      <c r="B36" s="10"/>
      <c r="C36" s="10"/>
      <c r="D36" s="10"/>
      <c r="E36" s="10"/>
      <c r="F36" s="10"/>
      <c r="G36" s="10"/>
      <c r="H36" s="10"/>
      <c r="I36" s="10"/>
      <c r="J36" s="10"/>
      <c r="K36" s="10"/>
      <c r="L36" s="10"/>
      <c r="M36" s="148"/>
      <c r="N36" s="148"/>
      <c r="O36" s="148"/>
      <c r="P36" s="148"/>
      <c r="Q36" s="148"/>
      <c r="R36" s="148"/>
      <c r="S36" s="148"/>
      <c r="T36" s="148"/>
      <c r="U36" s="10"/>
      <c r="V36" s="10"/>
      <c r="W36" s="10"/>
      <c r="X36" s="10"/>
      <c r="Y36" s="10"/>
      <c r="Z36" s="10"/>
      <c r="AA36" s="10"/>
      <c r="AB36" s="10"/>
    </row>
    <row r="37" spans="1:28" ht="15" customHeight="1" x14ac:dyDescent="0.35">
      <c r="A37" s="10"/>
      <c r="B37" s="10"/>
      <c r="C37" s="10"/>
      <c r="D37" s="10"/>
      <c r="E37" s="10"/>
      <c r="F37" s="10"/>
      <c r="G37" s="10"/>
      <c r="H37" s="10"/>
      <c r="I37" s="10"/>
      <c r="J37" s="10"/>
      <c r="K37" s="10"/>
      <c r="L37" s="10"/>
      <c r="M37" s="148"/>
      <c r="N37" s="148"/>
      <c r="O37" s="148"/>
      <c r="P37" s="148"/>
      <c r="Q37" s="148"/>
      <c r="R37" s="148"/>
      <c r="S37" s="148"/>
      <c r="T37" s="148"/>
      <c r="U37" s="10"/>
      <c r="V37" s="10"/>
      <c r="W37" s="10"/>
      <c r="X37" s="10"/>
      <c r="Y37" s="10"/>
      <c r="Z37" s="10"/>
      <c r="AA37" s="10"/>
      <c r="AB37" s="10"/>
    </row>
    <row r="38" spans="1:28" ht="15" customHeight="1" x14ac:dyDescent="0.35">
      <c r="A38" s="10"/>
      <c r="B38" s="10"/>
      <c r="C38" s="10"/>
      <c r="D38" s="10"/>
      <c r="E38" s="10"/>
      <c r="F38" s="10"/>
      <c r="G38" s="10"/>
      <c r="H38" s="10"/>
      <c r="I38" s="10"/>
      <c r="J38" s="10"/>
      <c r="K38" s="10"/>
      <c r="L38" s="10"/>
      <c r="M38" s="148"/>
      <c r="N38" s="148"/>
      <c r="O38" s="148"/>
      <c r="P38" s="148"/>
      <c r="Q38" s="148"/>
      <c r="R38" s="148"/>
      <c r="S38" s="148"/>
      <c r="T38" s="148"/>
      <c r="U38" s="10"/>
      <c r="V38" s="10"/>
      <c r="W38" s="10"/>
      <c r="X38" s="10"/>
      <c r="Y38" s="10"/>
      <c r="Z38" s="10"/>
      <c r="AA38" s="10"/>
      <c r="AB38" s="10"/>
    </row>
    <row r="39" spans="1:28" x14ac:dyDescent="0.35">
      <c r="A39" s="63"/>
      <c r="B39" s="63"/>
      <c r="C39" s="63"/>
      <c r="D39" s="63"/>
      <c r="E39" s="63"/>
      <c r="F39" s="63"/>
      <c r="G39" s="63"/>
      <c r="H39" s="63"/>
      <c r="I39" s="63"/>
      <c r="J39" s="63"/>
      <c r="K39" s="63"/>
      <c r="L39" s="63"/>
      <c r="M39" s="63"/>
      <c r="N39" s="63"/>
      <c r="O39" s="63"/>
      <c r="P39" s="63"/>
      <c r="Q39" s="63"/>
      <c r="R39" s="63"/>
      <c r="S39" s="63"/>
      <c r="T39" s="63"/>
      <c r="U39" s="63"/>
      <c r="V39" s="63"/>
      <c r="W39" s="63"/>
      <c r="X39" s="63"/>
      <c r="Y39" s="63"/>
      <c r="Z39" s="63"/>
      <c r="AA39" s="63"/>
      <c r="AB39" s="63"/>
    </row>
    <row r="40" spans="1:28" x14ac:dyDescent="0.35">
      <c r="A40" s="63"/>
      <c r="B40" s="63"/>
      <c r="C40" s="63"/>
      <c r="D40" s="63"/>
      <c r="E40" s="63"/>
      <c r="F40" s="63"/>
      <c r="G40" s="63"/>
      <c r="H40" s="63"/>
      <c r="I40" s="63"/>
      <c r="J40" s="63"/>
      <c r="K40" s="63"/>
      <c r="L40" s="63"/>
      <c r="M40" s="63"/>
      <c r="N40" s="63"/>
      <c r="O40" s="63"/>
      <c r="P40" s="63"/>
      <c r="Q40" s="63"/>
      <c r="R40" s="63"/>
      <c r="S40" s="63"/>
      <c r="T40" s="63"/>
      <c r="U40" s="63"/>
      <c r="V40" s="63"/>
      <c r="W40" s="63"/>
      <c r="X40" s="63"/>
      <c r="Y40" s="63"/>
      <c r="Z40" s="63"/>
      <c r="AA40" s="63"/>
      <c r="AB40" s="63"/>
    </row>
    <row r="41" spans="1:28" x14ac:dyDescent="0.35">
      <c r="A41" s="63"/>
      <c r="B41" s="63"/>
      <c r="C41" s="63"/>
      <c r="D41" s="63"/>
      <c r="E41" s="63"/>
      <c r="F41" s="63"/>
      <c r="G41" s="63"/>
      <c r="H41" s="63"/>
      <c r="I41" s="63"/>
      <c r="J41" s="63"/>
      <c r="K41" s="63"/>
      <c r="L41" s="63"/>
      <c r="M41" s="63"/>
      <c r="N41" s="63"/>
      <c r="O41" s="63"/>
      <c r="P41" s="63"/>
      <c r="Q41" s="63"/>
      <c r="R41" s="63"/>
      <c r="S41" s="63"/>
      <c r="T41" s="63"/>
      <c r="U41" s="63"/>
      <c r="V41" s="63"/>
      <c r="W41" s="63"/>
      <c r="X41" s="63"/>
      <c r="Y41" s="63"/>
      <c r="Z41" s="63"/>
      <c r="AA41" s="63"/>
      <c r="AB41" s="63"/>
    </row>
    <row r="42" spans="1:28" x14ac:dyDescent="0.35">
      <c r="A42" s="63"/>
      <c r="B42" s="63"/>
      <c r="C42" s="63"/>
      <c r="D42" s="63"/>
      <c r="E42" s="63"/>
      <c r="F42" s="63"/>
      <c r="G42" s="63"/>
      <c r="H42" s="63"/>
      <c r="I42" s="63"/>
      <c r="J42" s="63"/>
      <c r="K42" s="63"/>
      <c r="L42" s="63"/>
      <c r="M42" s="63"/>
      <c r="N42" s="63"/>
      <c r="O42" s="63"/>
      <c r="P42" s="63"/>
      <c r="Q42" s="63"/>
      <c r="R42" s="63"/>
      <c r="S42" s="118"/>
      <c r="T42" s="63"/>
      <c r="U42" s="63"/>
      <c r="V42" s="63"/>
      <c r="W42" s="63"/>
      <c r="X42" s="63"/>
      <c r="Y42" s="63"/>
      <c r="Z42" s="63"/>
      <c r="AA42" s="63"/>
      <c r="AB42" s="63"/>
    </row>
    <row r="43" spans="1:28" x14ac:dyDescent="0.35">
      <c r="A43" s="63"/>
      <c r="B43" s="63"/>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row>
    <row r="44" spans="1:28" x14ac:dyDescent="0.35">
      <c r="A44" s="63"/>
      <c r="B44" s="63"/>
      <c r="C44" s="63"/>
      <c r="D44" s="63"/>
      <c r="E44" s="63"/>
      <c r="F44" s="63"/>
      <c r="G44" s="63"/>
      <c r="H44" s="63"/>
      <c r="I44" s="63"/>
      <c r="J44" s="63"/>
      <c r="K44" s="63"/>
      <c r="L44" s="63"/>
      <c r="M44" s="63"/>
      <c r="N44" s="63"/>
      <c r="O44" s="63"/>
      <c r="P44" s="63"/>
      <c r="Q44" s="63"/>
      <c r="R44" s="63"/>
      <c r="S44" s="63"/>
      <c r="T44" s="63"/>
      <c r="U44" s="63"/>
      <c r="V44" s="63"/>
      <c r="W44" s="63"/>
      <c r="X44" s="63"/>
      <c r="Y44" s="63"/>
      <c r="Z44" s="63"/>
      <c r="AA44" s="63"/>
      <c r="AB44" s="63"/>
    </row>
    <row r="45" spans="1:28" x14ac:dyDescent="0.35">
      <c r="A45" s="63"/>
      <c r="B45" s="63"/>
      <c r="C45" s="63"/>
      <c r="D45" s="63"/>
      <c r="E45" s="63"/>
      <c r="F45" s="63"/>
      <c r="G45" s="63"/>
      <c r="H45" s="63"/>
      <c r="I45" s="63"/>
      <c r="J45" s="63"/>
      <c r="K45" s="63"/>
      <c r="L45" s="63"/>
      <c r="M45" s="63"/>
      <c r="N45" s="63"/>
      <c r="O45" s="63"/>
      <c r="P45" s="63"/>
      <c r="Q45" s="63"/>
      <c r="R45" s="63"/>
      <c r="S45" s="63"/>
      <c r="T45" s="63"/>
      <c r="U45" s="63"/>
      <c r="V45" s="63"/>
      <c r="W45" s="63"/>
      <c r="X45" s="63"/>
      <c r="Y45" s="63"/>
      <c r="Z45" s="63"/>
      <c r="AA45" s="63"/>
      <c r="AB45" s="63"/>
    </row>
    <row r="46" spans="1:28" x14ac:dyDescent="0.35">
      <c r="A46" s="63"/>
      <c r="B46" s="63"/>
      <c r="C46" s="63"/>
      <c r="D46" s="63"/>
      <c r="E46" s="63"/>
      <c r="F46" s="63"/>
      <c r="G46" s="63"/>
      <c r="H46" s="63"/>
      <c r="I46" s="63"/>
      <c r="J46" s="63"/>
      <c r="K46" s="63"/>
      <c r="L46" s="63"/>
      <c r="M46" s="63"/>
      <c r="N46" s="63"/>
      <c r="O46" s="63"/>
      <c r="P46" s="63"/>
      <c r="Q46" s="63"/>
      <c r="R46" s="63"/>
      <c r="S46" s="63"/>
      <c r="T46" s="63"/>
      <c r="U46" s="63"/>
      <c r="V46" s="63"/>
      <c r="W46" s="63"/>
      <c r="X46" s="63"/>
      <c r="Y46" s="63"/>
      <c r="Z46" s="63"/>
      <c r="AA46" s="63"/>
      <c r="AB46" s="63"/>
    </row>
    <row r="78" spans="12:12" x14ac:dyDescent="0.35">
      <c r="L78">
        <f>IF('Cost Budgets'!B95=0,1,0)</f>
        <v>0</v>
      </c>
    </row>
  </sheetData>
  <sheetProtection sheet="1" objects="1" scenarios="1" selectLockedCells="1"/>
  <mergeCells count="39">
    <mergeCell ref="M30:O30"/>
    <mergeCell ref="M25:O25"/>
    <mergeCell ref="E30:F30"/>
    <mergeCell ref="E28:G28"/>
    <mergeCell ref="M31:O31"/>
    <mergeCell ref="M26:O26"/>
    <mergeCell ref="M27:O27"/>
    <mergeCell ref="M28:O28"/>
    <mergeCell ref="M29:O29"/>
    <mergeCell ref="G11:G12"/>
    <mergeCell ref="E18:G18"/>
    <mergeCell ref="N6:P6"/>
    <mergeCell ref="F10:I10"/>
    <mergeCell ref="H21:K21"/>
    <mergeCell ref="E14:G14"/>
    <mergeCell ref="D20:F20"/>
    <mergeCell ref="D1:T1"/>
    <mergeCell ref="D3:E3"/>
    <mergeCell ref="M3:Q3"/>
    <mergeCell ref="N4:O4"/>
    <mergeCell ref="P4:R4"/>
    <mergeCell ref="F2:O2"/>
    <mergeCell ref="E4:G4"/>
    <mergeCell ref="R6:T7"/>
    <mergeCell ref="M33:T35"/>
    <mergeCell ref="N12:S14"/>
    <mergeCell ref="M21:T22"/>
    <mergeCell ref="E21:F21"/>
    <mergeCell ref="H12:J12"/>
    <mergeCell ref="E16:F16"/>
    <mergeCell ref="E8:F8"/>
    <mergeCell ref="M20:T20"/>
    <mergeCell ref="M32:O32"/>
    <mergeCell ref="E32:F32"/>
    <mergeCell ref="E26:G26"/>
    <mergeCell ref="E34:G34"/>
    <mergeCell ref="E25:F25"/>
    <mergeCell ref="E24:G24"/>
    <mergeCell ref="E12:F12"/>
  </mergeCells>
  <conditionalFormatting sqref="H12:J12">
    <cfRule type="expression" dxfId="0" priority="1">
      <formula>L78=1</formula>
    </cfRule>
  </conditionalFormatting>
  <dataValidations count="15">
    <dataValidation type="list" allowBlank="1" showInputMessage="1" showErrorMessage="1" sqref="H12" xr:uid="{00000000-0002-0000-0000-000000000000}">
      <formula1>Graft</formula1>
    </dataValidation>
    <dataValidation type="list" allowBlank="1" showInputMessage="1" showErrorMessage="1" sqref="E28" xr:uid="{00000000-0002-0000-0000-000001000000}">
      <formula1>Weed</formula1>
    </dataValidation>
    <dataValidation type="list" allowBlank="1" showInputMessage="1" showErrorMessage="1" sqref="E26" xr:uid="{00000000-0002-0000-0000-000002000000}">
      <formula1>Prune1</formula1>
    </dataValidation>
    <dataValidation type="list" allowBlank="1" showInputMessage="1" showErrorMessage="1" sqref="E24:G24" xr:uid="{00000000-0002-0000-0000-000003000000}">
      <formula1>ManFert</formula1>
    </dataValidation>
    <dataValidation type="list" allowBlank="1" showInputMessage="1" showErrorMessage="1" sqref="E16:F16" xr:uid="{00000000-0002-0000-0000-000004000000}">
      <formula1>Stake1</formula1>
    </dataValidation>
    <dataValidation type="list" allowBlank="1" showInputMessage="1" showErrorMessage="1" sqref="E14" xr:uid="{00000000-0002-0000-0000-000005000000}">
      <formula1>Fert</formula1>
    </dataValidation>
    <dataValidation type="list" allowBlank="1" showInputMessage="1" showErrorMessage="1" sqref="E12" xr:uid="{00000000-0002-0000-0000-000006000000}">
      <formula1>Stock</formula1>
    </dataValidation>
    <dataValidation type="list" allowBlank="1" showInputMessage="1" showErrorMessage="1" sqref="E8:F8" xr:uid="{00000000-0002-0000-0000-000007000000}">
      <formula1>Layout</formula1>
    </dataValidation>
    <dataValidation type="list" allowBlank="1" showInputMessage="1" showErrorMessage="1" sqref="E4" xr:uid="{00000000-0002-0000-0000-000008000000}">
      <formula1>Prep</formula1>
    </dataValidation>
    <dataValidation type="list" allowBlank="1" showInputMessage="1" showErrorMessage="1" sqref="E30:F30" xr:uid="{00000000-0002-0000-0000-000009000000}">
      <formula1>PestC</formula1>
    </dataValidation>
    <dataValidation type="list" allowBlank="1" showInputMessage="1" showErrorMessage="1" sqref="E32:F32" xr:uid="{00000000-0002-0000-0000-00000A000000}">
      <formula1>DiseaseC</formula1>
    </dataValidation>
    <dataValidation type="list" allowBlank="1" showInputMessage="1" showErrorMessage="1" sqref="E34" xr:uid="{00000000-0002-0000-0000-00000B000000}">
      <formula1>DeerC</formula1>
    </dataValidation>
    <dataValidation type="list" allowBlank="1" showInputMessage="1" showErrorMessage="1" sqref="P4:R4" xr:uid="{00000000-0002-0000-0000-00000C000000}">
      <formula1>Harvest</formula1>
    </dataValidation>
    <dataValidation type="list" allowBlank="1" showInputMessage="1" showErrorMessage="1" sqref="E10" xr:uid="{00000000-0002-0000-0000-00000D000000}">
      <formula1>SI</formula1>
    </dataValidation>
    <dataValidation type="list" allowBlank="1" showInputMessage="1" showErrorMessage="1" sqref="E18:G18" xr:uid="{00000000-0002-0000-0000-00000E000000}">
      <formula1>Irrigate</formula1>
    </dataValidation>
  </dataValidations>
  <hyperlinks>
    <hyperlink ref="N12:S14" r:id="rId1" display="UMCA Guide to Growing Chinese Chestnuts in Missouri" xr:uid="{00000000-0004-0000-0000-000000000000}"/>
  </hyperlinks>
  <pageMargins left="0.7" right="0.7" top="0.75" bottom="0.75" header="0.3" footer="0.3"/>
  <pageSetup scale="32" orientation="portrait" r:id="rId2"/>
  <colBreaks count="1" manualBreakCount="1">
    <brk id="19" max="43"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S113"/>
  <sheetViews>
    <sheetView workbookViewId="0">
      <selection activeCell="B18" sqref="B18"/>
    </sheetView>
  </sheetViews>
  <sheetFormatPr defaultRowHeight="14.5" x14ac:dyDescent="0.35"/>
  <cols>
    <col min="1" max="1" width="28.453125" customWidth="1"/>
    <col min="2" max="2" width="14.1796875" customWidth="1"/>
    <col min="3" max="3" width="12.26953125" customWidth="1"/>
    <col min="6" max="6" width="16.81640625" customWidth="1"/>
    <col min="7" max="7" width="18.7265625" customWidth="1"/>
    <col min="9" max="9" width="21.26953125" customWidth="1"/>
    <col min="10" max="10" width="15.26953125" customWidth="1"/>
    <col min="11" max="11" width="14.7265625" customWidth="1"/>
    <col min="12" max="12" width="21.54296875" customWidth="1"/>
    <col min="13" max="13" width="19.26953125" customWidth="1"/>
    <col min="14" max="14" width="18.7265625" customWidth="1"/>
  </cols>
  <sheetData>
    <row r="1" spans="1:9" ht="18.5" x14ac:dyDescent="0.45">
      <c r="A1" s="64" t="s">
        <v>124</v>
      </c>
      <c r="B1" s="65"/>
      <c r="C1" s="65"/>
      <c r="D1" s="65"/>
      <c r="E1" s="65"/>
      <c r="F1" s="66" t="s">
        <v>36</v>
      </c>
      <c r="G1" s="66" t="s">
        <v>123</v>
      </c>
      <c r="H1" s="65"/>
      <c r="I1" s="63"/>
    </row>
    <row r="2" spans="1:9" x14ac:dyDescent="0.35">
      <c r="A2" s="67" t="s">
        <v>13</v>
      </c>
      <c r="B2" s="180" t="str">
        <f>'Management Input'!E4</f>
        <v>Herbicide only (1 qt/ac.)</v>
      </c>
      <c r="C2" s="181"/>
      <c r="D2" s="65"/>
      <c r="E2" s="65"/>
      <c r="F2" s="68">
        <f>LOOKUP($B$2,'Input Tables'!$A$2:$A$5,'Input Tables'!B2:B5)</f>
        <v>120</v>
      </c>
      <c r="G2" s="68">
        <f>LOOKUP($B$2,'Input Tables'!$A$2:$A$5,'Input Tables'!C2:C5)</f>
        <v>2.4793388429752068</v>
      </c>
      <c r="H2" s="65"/>
      <c r="I2" s="63"/>
    </row>
    <row r="3" spans="1:9" x14ac:dyDescent="0.35">
      <c r="A3" s="67" t="s">
        <v>34</v>
      </c>
      <c r="B3" s="69">
        <f>'Cost Budgets'!B91</f>
        <v>48.4</v>
      </c>
      <c r="C3" s="65"/>
      <c r="D3" s="65"/>
      <c r="E3" s="65"/>
      <c r="F3" s="65"/>
      <c r="G3" s="65"/>
      <c r="H3" s="65"/>
      <c r="I3" s="63"/>
    </row>
    <row r="4" spans="1:9" x14ac:dyDescent="0.35">
      <c r="A4" s="67" t="s">
        <v>10</v>
      </c>
      <c r="B4" s="70" t="str">
        <f>'Management Input'!E12</f>
        <v>Grafted Seedlings</v>
      </c>
      <c r="C4" s="45"/>
      <c r="D4" s="65"/>
      <c r="E4" s="65"/>
      <c r="F4" s="65"/>
      <c r="G4" s="65"/>
      <c r="H4" s="65"/>
      <c r="I4" s="63"/>
    </row>
    <row r="5" spans="1:9" x14ac:dyDescent="0.35">
      <c r="A5" s="77" t="s">
        <v>122</v>
      </c>
      <c r="B5" s="185" t="str">
        <f>'Management Input'!H12</f>
        <v>Self Grafted (Field)</v>
      </c>
      <c r="C5" s="185"/>
      <c r="D5" s="65"/>
      <c r="E5" s="65"/>
      <c r="F5" s="71">
        <f>'Cost Budgets'!C95</f>
        <v>653.4</v>
      </c>
      <c r="G5" s="71">
        <f>'Cost Budgets'!B95</f>
        <v>13.5</v>
      </c>
      <c r="H5" s="65"/>
      <c r="I5" s="63"/>
    </row>
    <row r="6" spans="1:9" x14ac:dyDescent="0.35">
      <c r="A6" s="67" t="s">
        <v>19</v>
      </c>
      <c r="B6" s="183" t="str">
        <f>'Management Input'!E14</f>
        <v>Good early growth (&gt; 8")</v>
      </c>
      <c r="C6" s="183"/>
      <c r="D6" s="65"/>
      <c r="E6" s="65"/>
      <c r="F6" s="68">
        <f>LOOKUP($B$6,Fert,'Input Tables'!B20:B22)</f>
        <v>49.368000000000002</v>
      </c>
      <c r="G6" s="68">
        <f>LOOKUP($B$6,Fert,'Input Tables'!C20:C22)</f>
        <v>1.02</v>
      </c>
      <c r="H6" s="65"/>
      <c r="I6" s="63"/>
    </row>
    <row r="7" spans="1:9" x14ac:dyDescent="0.35">
      <c r="A7" s="67" t="s">
        <v>29</v>
      </c>
      <c r="B7" s="70" t="str">
        <f>'Management Input'!E16</f>
        <v>Steel conduit pipe</v>
      </c>
      <c r="C7" s="65"/>
      <c r="D7" s="65"/>
      <c r="E7" s="65"/>
      <c r="F7" s="68">
        <f>LOOKUP($B$7,'Input Tables'!$A$28:$A$32,'Input Tables'!B28:B32)</f>
        <v>96.8</v>
      </c>
      <c r="G7" s="68">
        <f>LOOKUP($B$7,'Input Tables'!$A$28:$A$32,'Input Tables'!C28:C32)</f>
        <v>2</v>
      </c>
      <c r="H7" s="65"/>
      <c r="I7" s="63"/>
    </row>
    <row r="8" spans="1:9" x14ac:dyDescent="0.35">
      <c r="A8" s="67" t="s">
        <v>223</v>
      </c>
      <c r="B8" s="182" t="str">
        <f>'Management Input'!E18</f>
        <v>Drip Irrigation</v>
      </c>
      <c r="C8" s="183"/>
      <c r="D8" s="65"/>
      <c r="E8" s="65"/>
      <c r="F8" s="68">
        <f>LOOKUP(B8,Irrigate,'Input Tables'!B106:B110)</f>
        <v>445.5</v>
      </c>
      <c r="G8" s="68"/>
      <c r="H8" s="65"/>
      <c r="I8" s="63"/>
    </row>
    <row r="9" spans="1:9" x14ac:dyDescent="0.35">
      <c r="A9" s="72"/>
      <c r="B9" s="130"/>
      <c r="C9" s="65"/>
      <c r="D9" s="186" t="s">
        <v>222</v>
      </c>
      <c r="E9" s="186"/>
      <c r="F9" s="144">
        <f>SUM(F2:F8)</f>
        <v>1365.068</v>
      </c>
      <c r="G9" s="68"/>
      <c r="H9" s="65"/>
      <c r="I9" s="63"/>
    </row>
    <row r="10" spans="1:9" ht="18.5" x14ac:dyDescent="0.45">
      <c r="A10" s="73" t="s">
        <v>125</v>
      </c>
      <c r="B10" s="70"/>
      <c r="C10" s="65"/>
      <c r="D10" s="65"/>
      <c r="E10" s="65"/>
      <c r="F10" s="68"/>
      <c r="G10" s="68"/>
      <c r="H10" s="65"/>
      <c r="I10" s="63"/>
    </row>
    <row r="11" spans="1:9" x14ac:dyDescent="0.35">
      <c r="A11" s="67" t="s">
        <v>24</v>
      </c>
      <c r="B11" s="74">
        <f>'Management Input'!E21</f>
        <v>0.1</v>
      </c>
      <c r="C11" s="65"/>
      <c r="D11" s="65"/>
      <c r="E11" s="65"/>
      <c r="F11" s="65"/>
      <c r="G11" s="65"/>
      <c r="H11" s="65"/>
      <c r="I11" s="63"/>
    </row>
    <row r="12" spans="1:9" x14ac:dyDescent="0.35">
      <c r="A12" s="67" t="s">
        <v>19</v>
      </c>
      <c r="B12" s="182" t="str">
        <f>'Management Input'!E24</f>
        <v>Bearing trees (46% N)</v>
      </c>
      <c r="C12" s="183"/>
      <c r="D12" s="65"/>
      <c r="E12" s="65"/>
      <c r="F12" s="68">
        <f>LOOKUP($B$12,ManFert,'Input Tables'!B35:B38)</f>
        <v>90</v>
      </c>
      <c r="G12" s="68">
        <f>LOOKUP($B$12,ManFert,'Input Tables'!C35:C38)</f>
        <v>1.859504132231405</v>
      </c>
      <c r="H12" s="65"/>
      <c r="I12" s="63"/>
    </row>
    <row r="13" spans="1:9" x14ac:dyDescent="0.35">
      <c r="A13" s="75" t="s">
        <v>26</v>
      </c>
      <c r="B13" s="182" t="str">
        <f>'Management Input'!E26</f>
        <v>Spring prune</v>
      </c>
      <c r="C13" s="183"/>
      <c r="D13" s="65"/>
      <c r="E13" s="65"/>
      <c r="F13" s="68">
        <f>LOOKUP($B$13,Prune1,'Input Tables'!B41:B44)</f>
        <v>48.4</v>
      </c>
      <c r="G13" s="68">
        <f>LOOKUP($B$13,Prune1,'Input Tables'!C41:C44)</f>
        <v>1</v>
      </c>
      <c r="H13" s="65"/>
      <c r="I13" s="63"/>
    </row>
    <row r="14" spans="1:9" x14ac:dyDescent="0.35">
      <c r="A14" s="75" t="s">
        <v>126</v>
      </c>
      <c r="B14" s="182" t="str">
        <f>'Management Input'!E28</f>
        <v>Herbicide (Roundup TM)</v>
      </c>
      <c r="C14" s="183"/>
      <c r="D14" s="65"/>
      <c r="E14" s="65"/>
      <c r="F14" s="68">
        <f>LOOKUP($B$14,Weed,'Input Tables'!B47:B51)</f>
        <v>120</v>
      </c>
      <c r="G14" s="68">
        <f>LOOKUP($B$14,Weed,'Input Tables'!C47:C51)</f>
        <v>2.4793388429752068</v>
      </c>
      <c r="H14" s="65"/>
      <c r="I14" s="63"/>
    </row>
    <row r="15" spans="1:9" x14ac:dyDescent="0.35">
      <c r="A15" s="67" t="s">
        <v>70</v>
      </c>
      <c r="B15" s="182" t="str">
        <f>'Management Input'!E30</f>
        <v>Warrior</v>
      </c>
      <c r="C15" s="185"/>
      <c r="D15" s="185"/>
      <c r="E15" s="65"/>
      <c r="F15" s="68">
        <f>LOOKUP($B$15,PestC,'Input Tables'!B54:B65)</f>
        <v>9.4079999999999995</v>
      </c>
      <c r="G15" s="68">
        <f>LOOKUP($B$15,PestC,'Input Tables'!C54:C65)</f>
        <v>0.1943801652892562</v>
      </c>
      <c r="H15" s="65"/>
      <c r="I15" s="63"/>
    </row>
    <row r="16" spans="1:9" x14ac:dyDescent="0.35">
      <c r="A16" s="67" t="s">
        <v>27</v>
      </c>
      <c r="B16" s="182" t="str">
        <f>'Management Input'!E32</f>
        <v>Abound</v>
      </c>
      <c r="C16" s="185"/>
      <c r="D16" s="185"/>
      <c r="E16" s="65"/>
      <c r="F16" s="68">
        <f>LOOKUP($B$16,DiseaseC,'Input Tables'!B68:B73)</f>
        <v>0</v>
      </c>
      <c r="G16" s="68">
        <f>LOOKUP($B$16,DiseaseC,'Input Tables'!C68:C73)</f>
        <v>0</v>
      </c>
      <c r="H16" s="65"/>
      <c r="I16" s="63"/>
    </row>
    <row r="17" spans="1:11" x14ac:dyDescent="0.35">
      <c r="A17" s="67" t="s">
        <v>28</v>
      </c>
      <c r="B17" s="182" t="str">
        <f>'Management Input'!E34</f>
        <v>Game Deterrent Fencing</v>
      </c>
      <c r="C17" s="185"/>
      <c r="D17" s="185"/>
      <c r="E17" s="65"/>
      <c r="F17" s="68">
        <f>LOOKUP($B$17,DeerC,'Input Tables'!B76:B82)</f>
        <v>349.44</v>
      </c>
      <c r="G17" s="68">
        <f>LOOKUP($B$17,DeerC,'Input Tables'!C76:C82)</f>
        <v>7.2198347107438021</v>
      </c>
      <c r="H17" s="65"/>
      <c r="I17" s="63"/>
      <c r="K17" s="78"/>
    </row>
    <row r="18" spans="1:11" x14ac:dyDescent="0.35">
      <c r="A18" s="65"/>
      <c r="B18" s="65"/>
      <c r="C18" s="65"/>
      <c r="D18" s="186" t="s">
        <v>221</v>
      </c>
      <c r="E18" s="186"/>
      <c r="F18" s="144">
        <f>SUM(F12:F17)</f>
        <v>617.24800000000005</v>
      </c>
      <c r="G18" s="65"/>
      <c r="H18" s="65"/>
      <c r="I18" s="63"/>
    </row>
    <row r="19" spans="1:11" ht="18.5" x14ac:dyDescent="0.45">
      <c r="A19" s="64" t="s">
        <v>127</v>
      </c>
      <c r="B19" s="65"/>
      <c r="C19" s="65"/>
      <c r="D19" s="65"/>
      <c r="E19" s="65"/>
      <c r="F19" s="68"/>
      <c r="G19" s="66" t="s">
        <v>135</v>
      </c>
      <c r="H19" s="65"/>
      <c r="I19" s="63"/>
    </row>
    <row r="20" spans="1:11" x14ac:dyDescent="0.35">
      <c r="A20" s="67" t="s">
        <v>128</v>
      </c>
      <c r="B20" s="182" t="str">
        <f>'Management Input'!P4</f>
        <v>Nut wizard</v>
      </c>
      <c r="C20" s="183"/>
      <c r="D20" s="65"/>
      <c r="E20" s="65"/>
      <c r="F20" s="112">
        <f>LOOKUP($B$20,Harvest,'Input Tables'!B92:B96)</f>
        <v>2058.6492131438727</v>
      </c>
      <c r="G20" s="68"/>
      <c r="H20" s="65"/>
      <c r="I20" s="63"/>
    </row>
    <row r="21" spans="1:11" x14ac:dyDescent="0.35">
      <c r="A21" s="65"/>
      <c r="B21" s="65"/>
      <c r="C21" s="65"/>
      <c r="D21" s="65"/>
      <c r="E21" s="65"/>
      <c r="F21" s="65"/>
      <c r="G21" s="65"/>
      <c r="H21" s="65"/>
      <c r="I21" s="63"/>
    </row>
    <row r="22" spans="1:11" x14ac:dyDescent="0.35">
      <c r="A22" s="63"/>
      <c r="B22" s="63"/>
      <c r="C22" s="63"/>
      <c r="D22" s="63"/>
      <c r="E22" s="63"/>
      <c r="F22" s="63"/>
      <c r="G22" s="63"/>
      <c r="H22" s="63"/>
      <c r="I22" s="63"/>
    </row>
    <row r="23" spans="1:11" x14ac:dyDescent="0.35">
      <c r="A23" s="63"/>
      <c r="B23" s="63"/>
      <c r="C23" s="63"/>
      <c r="D23" s="63"/>
      <c r="E23" s="63"/>
      <c r="F23" s="63"/>
      <c r="G23" s="63"/>
      <c r="H23" s="63"/>
      <c r="I23" s="63"/>
    </row>
    <row r="24" spans="1:11" x14ac:dyDescent="0.35">
      <c r="A24" s="63"/>
      <c r="B24" s="63"/>
      <c r="C24" s="63"/>
      <c r="D24" s="63"/>
      <c r="E24" s="63"/>
      <c r="F24" s="63"/>
      <c r="G24" s="63"/>
      <c r="H24" s="63"/>
      <c r="I24" s="63"/>
    </row>
    <row r="88" spans="1:19" ht="15" thickBot="1" x14ac:dyDescent="0.4">
      <c r="G88" s="45"/>
      <c r="H88" s="45"/>
      <c r="I88" s="45"/>
      <c r="J88" s="45"/>
      <c r="K88" s="45"/>
      <c r="L88" s="45"/>
      <c r="M88" s="45"/>
    </row>
    <row r="89" spans="1:19" x14ac:dyDescent="0.35">
      <c r="A89" s="49" t="s">
        <v>33</v>
      </c>
      <c r="B89" s="50"/>
      <c r="C89" s="50"/>
      <c r="D89" s="50"/>
      <c r="E89" s="50"/>
      <c r="F89" s="51"/>
      <c r="G89" s="61"/>
      <c r="H89" s="50"/>
      <c r="I89" s="50"/>
      <c r="J89" s="50"/>
      <c r="K89" s="50"/>
      <c r="L89" s="50"/>
      <c r="M89" s="50"/>
      <c r="N89" s="50"/>
      <c r="O89" s="50"/>
      <c r="P89" s="50"/>
      <c r="Q89" s="50"/>
      <c r="R89" s="50"/>
      <c r="S89" s="51"/>
    </row>
    <row r="90" spans="1:19" x14ac:dyDescent="0.35">
      <c r="A90" s="52" t="str">
        <f>'Management Input'!E8</f>
        <v>Rectangular/Square</v>
      </c>
      <c r="B90" s="184" t="s">
        <v>35</v>
      </c>
      <c r="C90" s="184"/>
      <c r="D90" s="45"/>
      <c r="E90" s="45"/>
      <c r="F90" s="53"/>
      <c r="G90" s="52"/>
      <c r="H90" s="45"/>
      <c r="I90" s="45"/>
      <c r="J90" s="45"/>
      <c r="K90" s="45"/>
      <c r="L90" s="45"/>
      <c r="M90" s="45"/>
      <c r="N90" s="45"/>
      <c r="O90" s="45"/>
      <c r="P90" s="45"/>
      <c r="Q90" s="45"/>
      <c r="R90" s="45"/>
      <c r="S90" s="53"/>
    </row>
    <row r="91" spans="1:19" x14ac:dyDescent="0.35">
      <c r="A91" s="52" t="str">
        <f>TEXT('Management Input'!E6,"0")&amp;" x "&amp;TEXT('Management Input'!G6,"0")</f>
        <v>30 x 30</v>
      </c>
      <c r="B91" s="46">
        <f>IF(OR(A90="rectangular/square",A90="diamond"),43560/('Management Input'!E6*'Management Input'!G6),(43560/((('Management Input'!E6/2)^2)*3.14)))</f>
        <v>48.4</v>
      </c>
      <c r="C91" s="45"/>
      <c r="D91" s="45"/>
      <c r="E91" s="45"/>
      <c r="F91" s="53"/>
      <c r="G91" s="52"/>
      <c r="H91" s="45"/>
      <c r="I91" s="45"/>
      <c r="J91" s="45"/>
      <c r="K91" s="45"/>
      <c r="L91" s="45"/>
      <c r="M91" s="45"/>
      <c r="N91" s="45"/>
      <c r="O91" s="45"/>
      <c r="P91" s="45"/>
      <c r="Q91" s="45"/>
      <c r="R91" s="45"/>
      <c r="S91" s="53"/>
    </row>
    <row r="92" spans="1:19" x14ac:dyDescent="0.35">
      <c r="A92" s="52"/>
      <c r="B92" s="45"/>
      <c r="C92" s="45"/>
      <c r="D92" s="45"/>
      <c r="E92" s="45"/>
      <c r="F92" s="53"/>
      <c r="G92" s="52"/>
      <c r="H92" s="45"/>
      <c r="I92" s="45"/>
      <c r="J92" s="45"/>
      <c r="K92" s="45"/>
      <c r="L92" s="45"/>
      <c r="M92" s="45"/>
      <c r="N92" s="45"/>
      <c r="O92" s="45"/>
      <c r="P92" s="45"/>
      <c r="Q92" s="45"/>
      <c r="R92" s="45"/>
      <c r="S92" s="53"/>
    </row>
    <row r="93" spans="1:19" x14ac:dyDescent="0.35">
      <c r="A93" s="54" t="s">
        <v>110</v>
      </c>
      <c r="B93" s="45" t="s">
        <v>111</v>
      </c>
      <c r="C93" s="45" t="s">
        <v>112</v>
      </c>
      <c r="D93" s="45"/>
      <c r="E93" s="45"/>
      <c r="F93" s="53"/>
      <c r="G93" s="52"/>
      <c r="H93" s="45"/>
      <c r="I93" s="45"/>
      <c r="J93" s="45"/>
      <c r="K93" s="45"/>
      <c r="L93" s="45"/>
      <c r="M93" s="45"/>
      <c r="N93" s="45"/>
      <c r="O93" s="45"/>
      <c r="P93" s="45"/>
      <c r="Q93" s="45"/>
      <c r="R93" s="45"/>
      <c r="S93" s="53"/>
    </row>
    <row r="94" spans="1:19" x14ac:dyDescent="0.35">
      <c r="A94" s="52" t="str">
        <f>'Management Input'!E12</f>
        <v>Grafted Seedlings</v>
      </c>
      <c r="B94" s="45"/>
      <c r="C94" s="45"/>
      <c r="D94" s="45"/>
      <c r="E94" s="45"/>
      <c r="F94" s="53"/>
      <c r="G94" s="52"/>
      <c r="H94" s="45"/>
      <c r="I94" s="45"/>
      <c r="J94" s="45"/>
      <c r="K94" s="45"/>
      <c r="L94" s="45"/>
      <c r="M94" s="45"/>
      <c r="N94" s="45"/>
      <c r="O94" s="45"/>
      <c r="P94" s="45"/>
      <c r="Q94" s="45"/>
      <c r="R94" s="45"/>
      <c r="S94" s="53"/>
    </row>
    <row r="95" spans="1:19" x14ac:dyDescent="0.35">
      <c r="A95" s="52" t="str">
        <f>'Management Input'!H12</f>
        <v>Self Grafted (Field)</v>
      </c>
      <c r="B95" s="47">
        <f>VLOOKUP(A94,I100:N104,(IF(A95="Not Grafted",2,IF(A95="Nursery Grafted",3,IF(A95="Professionally Grafted",4,IF(A95="Self Grafted (Bench)",5,6))))))</f>
        <v>13.5</v>
      </c>
      <c r="C95" s="48">
        <f>B95*'Cost Budgets'!B3</f>
        <v>653.4</v>
      </c>
      <c r="D95" s="45"/>
      <c r="E95" s="45"/>
      <c r="F95" s="53"/>
      <c r="G95" s="52"/>
      <c r="H95" s="45"/>
      <c r="I95" s="45"/>
      <c r="J95" s="45"/>
      <c r="K95" s="45"/>
      <c r="L95" s="45"/>
      <c r="M95" s="45"/>
      <c r="N95" s="45"/>
      <c r="O95" s="45"/>
      <c r="P95" s="45"/>
      <c r="Q95" s="45"/>
      <c r="R95" s="45"/>
      <c r="S95" s="53"/>
    </row>
    <row r="96" spans="1:19" x14ac:dyDescent="0.35">
      <c r="A96" s="52"/>
      <c r="B96" s="45"/>
      <c r="C96" s="45"/>
      <c r="D96" s="45"/>
      <c r="E96" s="45"/>
      <c r="F96" s="53"/>
      <c r="G96" s="52"/>
      <c r="H96" s="45"/>
      <c r="I96" s="45"/>
      <c r="J96" s="45"/>
      <c r="K96" s="45"/>
      <c r="L96" s="45"/>
      <c r="M96" s="45"/>
      <c r="N96" s="45"/>
      <c r="O96" s="45"/>
      <c r="P96" s="45"/>
      <c r="Q96" s="45"/>
      <c r="R96" s="45"/>
      <c r="S96" s="53"/>
    </row>
    <row r="97" spans="1:19" x14ac:dyDescent="0.35">
      <c r="A97" s="54" t="s">
        <v>131</v>
      </c>
      <c r="B97" s="47">
        <f>'Management Input'!Q8</f>
        <v>3</v>
      </c>
      <c r="C97" s="45" t="s">
        <v>132</v>
      </c>
      <c r="D97" s="45"/>
      <c r="E97" s="45"/>
      <c r="F97" s="53"/>
      <c r="G97" s="52"/>
      <c r="H97" s="45"/>
      <c r="I97" s="45"/>
      <c r="J97" s="45"/>
      <c r="K97" s="45"/>
      <c r="L97" s="45"/>
      <c r="M97" s="45"/>
      <c r="N97" s="45"/>
      <c r="O97" s="45"/>
      <c r="P97" s="45"/>
      <c r="Q97" s="45"/>
      <c r="R97" s="45"/>
      <c r="S97" s="53"/>
    </row>
    <row r="98" spans="1:19" x14ac:dyDescent="0.35">
      <c r="A98" s="55"/>
      <c r="B98" s="45"/>
      <c r="C98" s="45"/>
      <c r="D98" s="45"/>
      <c r="E98" s="45"/>
      <c r="F98" s="53"/>
      <c r="G98" s="52"/>
      <c r="H98" s="45"/>
      <c r="I98" s="45" t="s">
        <v>133</v>
      </c>
      <c r="J98" s="45"/>
      <c r="K98" s="45"/>
      <c r="L98" s="45"/>
      <c r="M98" s="45"/>
      <c r="N98" s="45"/>
      <c r="O98" s="45"/>
      <c r="P98" s="45"/>
      <c r="Q98" s="45"/>
      <c r="R98" s="45"/>
      <c r="S98" s="53"/>
    </row>
    <row r="99" spans="1:19" x14ac:dyDescent="0.35">
      <c r="A99" s="56"/>
      <c r="B99" s="45"/>
      <c r="E99" s="45"/>
      <c r="F99" s="53"/>
      <c r="G99" s="52"/>
      <c r="H99" s="45"/>
      <c r="I99" s="45"/>
      <c r="J99" s="45" t="s">
        <v>104</v>
      </c>
      <c r="K99" s="45" t="s">
        <v>105</v>
      </c>
      <c r="L99" s="45" t="s">
        <v>108</v>
      </c>
      <c r="M99" s="43" t="s">
        <v>106</v>
      </c>
      <c r="N99" s="43" t="s">
        <v>107</v>
      </c>
      <c r="O99" s="45"/>
      <c r="P99" s="45"/>
      <c r="Q99" s="45"/>
      <c r="R99" s="45"/>
      <c r="S99" s="53"/>
    </row>
    <row r="100" spans="1:19" x14ac:dyDescent="0.35">
      <c r="A100" s="52"/>
      <c r="B100" s="45"/>
      <c r="C100" s="45"/>
      <c r="D100" s="45"/>
      <c r="E100" s="45"/>
      <c r="F100" s="53"/>
      <c r="G100" s="52"/>
      <c r="H100" s="45"/>
      <c r="I100" s="45" t="s">
        <v>12</v>
      </c>
      <c r="J100" s="62"/>
      <c r="K100" s="47">
        <f>'Input Tables'!C13</f>
        <v>20</v>
      </c>
      <c r="L100" s="47">
        <f>'Input Tables'!C13</f>
        <v>20</v>
      </c>
      <c r="M100" s="47">
        <f>'Input Tables'!C88+'Input Tables'!C14</f>
        <v>13.5</v>
      </c>
      <c r="N100" s="47">
        <f>J101+'Input Tables'!C89</f>
        <v>13.5</v>
      </c>
      <c r="O100" s="45"/>
      <c r="P100" s="45"/>
      <c r="Q100" s="45"/>
      <c r="R100" s="45"/>
      <c r="S100" s="53"/>
    </row>
    <row r="101" spans="1:19" x14ac:dyDescent="0.35">
      <c r="A101" s="52"/>
      <c r="B101" s="45"/>
      <c r="C101" s="45"/>
      <c r="D101" s="45"/>
      <c r="E101" s="45"/>
      <c r="F101" s="53"/>
      <c r="G101" s="52"/>
      <c r="H101" s="45"/>
      <c r="I101" s="45" t="s">
        <v>11</v>
      </c>
      <c r="J101" s="47">
        <f>'Input Tables'!C14</f>
        <v>3.5</v>
      </c>
      <c r="K101" s="62"/>
      <c r="L101" s="47">
        <f>J101+'Input Tables'!C87</f>
        <v>21.5</v>
      </c>
      <c r="M101" s="47">
        <f>J101+'Input Tables'!C88</f>
        <v>13.5</v>
      </c>
      <c r="N101" s="47">
        <f>J101+'Input Tables'!C89</f>
        <v>13.5</v>
      </c>
      <c r="O101" s="45"/>
      <c r="P101" s="45"/>
      <c r="Q101" s="45"/>
      <c r="R101" s="45"/>
      <c r="S101" s="53"/>
    </row>
    <row r="102" spans="1:19" x14ac:dyDescent="0.35">
      <c r="A102" s="52"/>
      <c r="B102" s="45"/>
      <c r="C102" s="45"/>
      <c r="D102" s="45"/>
      <c r="E102" s="45"/>
      <c r="F102" s="53"/>
      <c r="G102" s="52"/>
      <c r="H102" s="45"/>
      <c r="I102" s="45" t="s">
        <v>17</v>
      </c>
      <c r="J102" s="47">
        <f>'Input Tables'!C15</f>
        <v>4</v>
      </c>
      <c r="K102" s="62"/>
      <c r="L102" s="47">
        <f>J102+'Input Tables'!C87</f>
        <v>22</v>
      </c>
      <c r="M102" s="47">
        <f>J102+'Input Tables'!C88</f>
        <v>14</v>
      </c>
      <c r="N102" s="47">
        <f>J102+'Input Tables'!C89</f>
        <v>14</v>
      </c>
      <c r="O102" s="45"/>
      <c r="P102" s="45"/>
      <c r="Q102" s="45"/>
      <c r="R102" s="45"/>
      <c r="S102" s="53"/>
    </row>
    <row r="103" spans="1:19" x14ac:dyDescent="0.35">
      <c r="A103" s="52"/>
      <c r="B103" s="45"/>
      <c r="C103" s="45"/>
      <c r="D103" s="45"/>
      <c r="E103" s="45"/>
      <c r="F103" s="53"/>
      <c r="G103" s="52"/>
      <c r="H103" s="45"/>
      <c r="I103" s="45" t="s">
        <v>134</v>
      </c>
      <c r="J103" s="47">
        <f>'Input Tables'!C16</f>
        <v>17.5</v>
      </c>
      <c r="K103" s="47">
        <f>J103+'Input Tables'!C86</f>
        <v>35.5</v>
      </c>
      <c r="L103" s="47">
        <f>J103+'Input Tables'!C87</f>
        <v>35.5</v>
      </c>
      <c r="M103" s="14"/>
      <c r="N103" s="126">
        <f>J103+'Input Tables'!C89</f>
        <v>27.5</v>
      </c>
      <c r="O103" s="45"/>
      <c r="P103" s="45"/>
      <c r="Q103" s="45"/>
      <c r="R103" s="45"/>
      <c r="S103" s="53"/>
    </row>
    <row r="104" spans="1:19" x14ac:dyDescent="0.35">
      <c r="A104" s="52"/>
      <c r="B104" s="45"/>
      <c r="C104" s="45"/>
      <c r="D104" s="45"/>
      <c r="E104" s="45"/>
      <c r="F104" s="53"/>
      <c r="G104" s="52"/>
      <c r="H104" s="45"/>
      <c r="I104" s="45" t="s">
        <v>90</v>
      </c>
      <c r="J104" s="47">
        <f>'Input Tables'!C17</f>
        <v>0</v>
      </c>
      <c r="K104" s="47"/>
      <c r="L104" s="47"/>
      <c r="M104" s="47"/>
      <c r="N104" s="47"/>
      <c r="O104" s="45"/>
      <c r="P104" s="45"/>
      <c r="Q104" s="45"/>
      <c r="R104" s="45"/>
      <c r="S104" s="53"/>
    </row>
    <row r="105" spans="1:19" x14ac:dyDescent="0.35">
      <c r="A105" s="52"/>
      <c r="B105" s="45"/>
      <c r="C105" s="45"/>
      <c r="D105" s="45"/>
      <c r="E105" s="45"/>
      <c r="F105" s="53"/>
      <c r="G105" s="52"/>
      <c r="H105" s="45"/>
      <c r="I105" s="45"/>
      <c r="J105" s="45"/>
      <c r="K105" s="45"/>
      <c r="L105" s="45"/>
      <c r="M105" s="45"/>
      <c r="N105" s="45"/>
      <c r="O105" s="45"/>
      <c r="P105" s="45"/>
      <c r="Q105" s="45"/>
      <c r="R105" s="45"/>
      <c r="S105" s="53"/>
    </row>
    <row r="106" spans="1:19" x14ac:dyDescent="0.35">
      <c r="A106" s="52"/>
      <c r="B106" s="45"/>
      <c r="C106" s="45"/>
      <c r="D106" s="45"/>
      <c r="E106" s="45"/>
      <c r="F106" s="53"/>
      <c r="G106" s="52"/>
      <c r="H106" s="45"/>
      <c r="I106" s="45"/>
      <c r="J106" s="45"/>
      <c r="K106" s="45"/>
      <c r="L106" s="45"/>
      <c r="M106" s="45"/>
      <c r="N106" s="45"/>
      <c r="O106" s="45"/>
      <c r="P106" s="45"/>
      <c r="Q106" s="45"/>
      <c r="R106" s="45"/>
      <c r="S106" s="53"/>
    </row>
    <row r="107" spans="1:19" x14ac:dyDescent="0.35">
      <c r="A107" s="52"/>
      <c r="B107" s="45"/>
      <c r="C107" s="45"/>
      <c r="D107" s="45"/>
      <c r="E107" s="45"/>
      <c r="F107" s="53"/>
      <c r="G107" s="52"/>
      <c r="H107" s="45"/>
      <c r="I107" s="45"/>
      <c r="J107" s="45"/>
      <c r="K107" s="45"/>
      <c r="L107" s="45"/>
      <c r="M107" s="45"/>
      <c r="N107" s="45"/>
      <c r="O107" s="45"/>
      <c r="P107" s="45"/>
      <c r="Q107" s="45"/>
      <c r="R107" s="45"/>
      <c r="S107" s="53"/>
    </row>
    <row r="108" spans="1:19" x14ac:dyDescent="0.35">
      <c r="A108" s="52"/>
      <c r="B108" s="45"/>
      <c r="C108" s="45"/>
      <c r="D108" s="45"/>
      <c r="E108" s="45"/>
      <c r="F108" s="53"/>
      <c r="G108" s="52"/>
      <c r="H108" s="45"/>
      <c r="I108" s="45"/>
      <c r="J108" s="45"/>
      <c r="K108" s="45"/>
      <c r="L108" s="45"/>
      <c r="M108" s="45"/>
      <c r="N108" s="45"/>
      <c r="O108" s="45"/>
      <c r="P108" s="45"/>
      <c r="Q108" s="45"/>
      <c r="R108" s="45"/>
      <c r="S108" s="53"/>
    </row>
    <row r="109" spans="1:19" x14ac:dyDescent="0.35">
      <c r="A109" s="52"/>
      <c r="B109" s="45"/>
      <c r="C109" s="45"/>
      <c r="D109" s="45"/>
      <c r="E109" s="45"/>
      <c r="F109" s="53"/>
      <c r="G109" s="52"/>
      <c r="H109" s="45"/>
      <c r="I109" s="45"/>
      <c r="J109" s="45"/>
      <c r="K109" s="45"/>
      <c r="L109" s="45"/>
      <c r="M109" s="45"/>
      <c r="N109" s="45"/>
      <c r="O109" s="45"/>
      <c r="P109" s="45"/>
      <c r="Q109" s="45"/>
      <c r="R109" s="45"/>
      <c r="S109" s="53"/>
    </row>
    <row r="110" spans="1:19" x14ac:dyDescent="0.35">
      <c r="A110" s="52"/>
      <c r="B110" s="45"/>
      <c r="C110" s="45"/>
      <c r="D110" s="45"/>
      <c r="E110" s="45"/>
      <c r="F110" s="53"/>
      <c r="G110" s="52"/>
      <c r="H110" s="45"/>
      <c r="I110" s="45"/>
      <c r="J110" s="45"/>
      <c r="K110" s="45"/>
      <c r="L110" s="45"/>
      <c r="M110" s="45"/>
      <c r="N110" s="45"/>
      <c r="O110" s="45"/>
      <c r="P110" s="45"/>
      <c r="Q110" s="45"/>
      <c r="R110" s="45"/>
      <c r="S110" s="53"/>
    </row>
    <row r="111" spans="1:19" x14ac:dyDescent="0.35">
      <c r="A111" s="52"/>
      <c r="B111" s="45"/>
      <c r="C111" s="45"/>
      <c r="D111" s="45"/>
      <c r="E111" s="45"/>
      <c r="F111" s="53"/>
      <c r="G111" s="52"/>
      <c r="H111" s="45"/>
      <c r="I111" s="45"/>
      <c r="J111" s="45"/>
      <c r="K111" s="45"/>
      <c r="L111" s="45"/>
      <c r="M111" s="45"/>
      <c r="N111" s="45"/>
      <c r="O111" s="45"/>
      <c r="P111" s="45"/>
      <c r="Q111" s="45"/>
      <c r="R111" s="45"/>
      <c r="S111" s="53"/>
    </row>
    <row r="112" spans="1:19" x14ac:dyDescent="0.35">
      <c r="A112" s="52"/>
      <c r="B112" s="45"/>
      <c r="C112" s="45"/>
      <c r="D112" s="45"/>
      <c r="E112" s="45"/>
      <c r="F112" s="53"/>
      <c r="G112" s="52"/>
      <c r="H112" s="45"/>
      <c r="I112" s="45"/>
      <c r="J112" s="45"/>
      <c r="K112" s="45"/>
      <c r="L112" s="45"/>
      <c r="M112" s="45"/>
      <c r="N112" s="45"/>
      <c r="O112" s="45"/>
      <c r="P112" s="45"/>
      <c r="Q112" s="45"/>
      <c r="R112" s="45"/>
      <c r="S112" s="53"/>
    </row>
    <row r="113" spans="1:19" ht="15" thickBot="1" x14ac:dyDescent="0.4">
      <c r="A113" s="57"/>
      <c r="B113" s="58"/>
      <c r="C113" s="58"/>
      <c r="D113" s="58"/>
      <c r="E113" s="58"/>
      <c r="F113" s="59"/>
      <c r="G113" s="57"/>
      <c r="H113" s="58"/>
      <c r="I113" s="58"/>
      <c r="J113" s="58"/>
      <c r="K113" s="58"/>
      <c r="L113" s="58"/>
      <c r="M113" s="58"/>
      <c r="N113" s="58"/>
      <c r="O113" s="58"/>
      <c r="P113" s="58"/>
      <c r="Q113" s="58"/>
      <c r="R113" s="58"/>
      <c r="S113" s="59"/>
    </row>
  </sheetData>
  <sheetProtection sheet="1" objects="1" scenarios="1" selectLockedCells="1"/>
  <mergeCells count="14">
    <mergeCell ref="B2:C2"/>
    <mergeCell ref="B12:C12"/>
    <mergeCell ref="B20:C20"/>
    <mergeCell ref="B90:C90"/>
    <mergeCell ref="B14:C14"/>
    <mergeCell ref="B17:D17"/>
    <mergeCell ref="B16:D16"/>
    <mergeCell ref="B15:D15"/>
    <mergeCell ref="D9:E9"/>
    <mergeCell ref="D18:E18"/>
    <mergeCell ref="B8:C8"/>
    <mergeCell ref="B13:C13"/>
    <mergeCell ref="B5:C5"/>
    <mergeCell ref="B6:C6"/>
  </mergeCells>
  <pageMargins left="0.7" right="0.7" top="0.75" bottom="0.75" header="0.3" footer="0.3"/>
  <pageSetup paperSize="0" scale="88"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P102"/>
  <sheetViews>
    <sheetView workbookViewId="0">
      <pane ySplit="900" topLeftCell="A8" activePane="bottomLeft"/>
      <selection activeCell="BL1" sqref="BL1:BU1048576"/>
      <selection pane="bottomLeft" activeCell="C8" sqref="C8"/>
    </sheetView>
  </sheetViews>
  <sheetFormatPr defaultRowHeight="14.5" x14ac:dyDescent="0.35"/>
  <cols>
    <col min="2" max="2" width="31.7265625" customWidth="1"/>
    <col min="3" max="3" width="9.1796875" style="81"/>
    <col min="4" max="63" width="12.7265625" customWidth="1"/>
  </cols>
  <sheetData>
    <row r="1" spans="1:94" ht="30" customHeight="1" x14ac:dyDescent="0.35">
      <c r="A1" s="188" t="s">
        <v>141</v>
      </c>
      <c r="C1" s="80" t="s">
        <v>136</v>
      </c>
      <c r="D1">
        <v>1</v>
      </c>
      <c r="E1">
        <f>D1+1</f>
        <v>2</v>
      </c>
      <c r="F1">
        <f t="shared" ref="F1:BK1" si="0">E1+1</f>
        <v>3</v>
      </c>
      <c r="G1">
        <f t="shared" si="0"/>
        <v>4</v>
      </c>
      <c r="H1">
        <f t="shared" si="0"/>
        <v>5</v>
      </c>
      <c r="I1">
        <f t="shared" si="0"/>
        <v>6</v>
      </c>
      <c r="J1">
        <f t="shared" si="0"/>
        <v>7</v>
      </c>
      <c r="K1">
        <f t="shared" si="0"/>
        <v>8</v>
      </c>
      <c r="L1">
        <f t="shared" si="0"/>
        <v>9</v>
      </c>
      <c r="M1">
        <f t="shared" si="0"/>
        <v>10</v>
      </c>
      <c r="N1">
        <f t="shared" si="0"/>
        <v>11</v>
      </c>
      <c r="O1">
        <f t="shared" si="0"/>
        <v>12</v>
      </c>
      <c r="P1">
        <f t="shared" si="0"/>
        <v>13</v>
      </c>
      <c r="Q1">
        <f t="shared" si="0"/>
        <v>14</v>
      </c>
      <c r="R1">
        <f t="shared" si="0"/>
        <v>15</v>
      </c>
      <c r="S1">
        <f t="shared" si="0"/>
        <v>16</v>
      </c>
      <c r="T1">
        <f t="shared" si="0"/>
        <v>17</v>
      </c>
      <c r="U1">
        <f t="shared" si="0"/>
        <v>18</v>
      </c>
      <c r="V1">
        <f t="shared" si="0"/>
        <v>19</v>
      </c>
      <c r="W1">
        <f t="shared" si="0"/>
        <v>20</v>
      </c>
      <c r="X1">
        <f t="shared" si="0"/>
        <v>21</v>
      </c>
      <c r="Y1">
        <f t="shared" si="0"/>
        <v>22</v>
      </c>
      <c r="Z1">
        <f t="shared" si="0"/>
        <v>23</v>
      </c>
      <c r="AA1">
        <f t="shared" si="0"/>
        <v>24</v>
      </c>
      <c r="AB1">
        <f t="shared" si="0"/>
        <v>25</v>
      </c>
      <c r="AC1">
        <f t="shared" si="0"/>
        <v>26</v>
      </c>
      <c r="AD1">
        <f t="shared" si="0"/>
        <v>27</v>
      </c>
      <c r="AE1">
        <f t="shared" si="0"/>
        <v>28</v>
      </c>
      <c r="AF1">
        <f t="shared" si="0"/>
        <v>29</v>
      </c>
      <c r="AG1">
        <f t="shared" si="0"/>
        <v>30</v>
      </c>
      <c r="AH1">
        <f t="shared" si="0"/>
        <v>31</v>
      </c>
      <c r="AI1">
        <f t="shared" si="0"/>
        <v>32</v>
      </c>
      <c r="AJ1">
        <f t="shared" si="0"/>
        <v>33</v>
      </c>
      <c r="AK1">
        <f t="shared" si="0"/>
        <v>34</v>
      </c>
      <c r="AL1">
        <f t="shared" si="0"/>
        <v>35</v>
      </c>
      <c r="AM1">
        <f t="shared" si="0"/>
        <v>36</v>
      </c>
      <c r="AN1">
        <f t="shared" si="0"/>
        <v>37</v>
      </c>
      <c r="AO1">
        <f t="shared" si="0"/>
        <v>38</v>
      </c>
      <c r="AP1">
        <f t="shared" si="0"/>
        <v>39</v>
      </c>
      <c r="AQ1">
        <f t="shared" si="0"/>
        <v>40</v>
      </c>
      <c r="AR1">
        <f t="shared" si="0"/>
        <v>41</v>
      </c>
      <c r="AS1">
        <f t="shared" si="0"/>
        <v>42</v>
      </c>
      <c r="AT1">
        <f t="shared" si="0"/>
        <v>43</v>
      </c>
      <c r="AU1">
        <f t="shared" si="0"/>
        <v>44</v>
      </c>
      <c r="AV1">
        <f t="shared" si="0"/>
        <v>45</v>
      </c>
      <c r="AW1">
        <f t="shared" si="0"/>
        <v>46</v>
      </c>
      <c r="AX1">
        <f t="shared" si="0"/>
        <v>47</v>
      </c>
      <c r="AY1">
        <f t="shared" si="0"/>
        <v>48</v>
      </c>
      <c r="AZ1">
        <f t="shared" si="0"/>
        <v>49</v>
      </c>
      <c r="BA1">
        <f t="shared" si="0"/>
        <v>50</v>
      </c>
      <c r="BB1" s="79">
        <f t="shared" si="0"/>
        <v>51</v>
      </c>
      <c r="BC1" s="79">
        <f t="shared" si="0"/>
        <v>52</v>
      </c>
      <c r="BD1" s="79">
        <f t="shared" si="0"/>
        <v>53</v>
      </c>
      <c r="BE1" s="79">
        <f t="shared" si="0"/>
        <v>54</v>
      </c>
      <c r="BF1" s="79">
        <f t="shared" si="0"/>
        <v>55</v>
      </c>
      <c r="BG1" s="79">
        <f t="shared" si="0"/>
        <v>56</v>
      </c>
      <c r="BH1" s="79">
        <f t="shared" si="0"/>
        <v>57</v>
      </c>
      <c r="BI1" s="79">
        <f t="shared" si="0"/>
        <v>58</v>
      </c>
      <c r="BJ1" s="79">
        <f t="shared" si="0"/>
        <v>59</v>
      </c>
      <c r="BK1" s="79">
        <f t="shared" si="0"/>
        <v>60</v>
      </c>
    </row>
    <row r="2" spans="1:94" x14ac:dyDescent="0.35">
      <c r="A2" s="188"/>
      <c r="B2" t="s">
        <v>197</v>
      </c>
      <c r="C2" s="5" t="str">
        <f>'Management Input'!$E$10</f>
        <v>Good</v>
      </c>
      <c r="D2" s="88">
        <f t="shared" ref="D2:F2" si="1">E2-$I$16</f>
        <v>0.5</v>
      </c>
      <c r="E2" s="88">
        <f t="shared" si="1"/>
        <v>1</v>
      </c>
      <c r="F2" s="88">
        <f t="shared" si="1"/>
        <v>1.5</v>
      </c>
      <c r="G2" s="88">
        <f>H2-$I$16</f>
        <v>2</v>
      </c>
      <c r="H2">
        <f>LOOKUP(C2,SI,'Input Tables'!C99:C102)</f>
        <v>2.5</v>
      </c>
      <c r="I2" s="88">
        <f t="shared" ref="I2:AN2" si="2">H2+(H16*H15)</f>
        <v>3</v>
      </c>
      <c r="J2" s="88">
        <f t="shared" ca="1" si="2"/>
        <v>3.5</v>
      </c>
      <c r="K2" s="88">
        <f t="shared" ca="1" si="2"/>
        <v>4</v>
      </c>
      <c r="L2" s="88">
        <f t="shared" ca="1" si="2"/>
        <v>4.5</v>
      </c>
      <c r="M2" s="88">
        <f t="shared" ca="1" si="2"/>
        <v>5</v>
      </c>
      <c r="N2" s="88">
        <f t="shared" ca="1" si="2"/>
        <v>5.5</v>
      </c>
      <c r="O2" s="88">
        <f t="shared" ca="1" si="2"/>
        <v>6</v>
      </c>
      <c r="P2" s="88">
        <f t="shared" ca="1" si="2"/>
        <v>6.5</v>
      </c>
      <c r="Q2" s="88">
        <f t="shared" ca="1" si="2"/>
        <v>7</v>
      </c>
      <c r="R2" s="88">
        <f t="shared" ca="1" si="2"/>
        <v>7.5</v>
      </c>
      <c r="S2" s="88">
        <f t="shared" ca="1" si="2"/>
        <v>8</v>
      </c>
      <c r="T2" s="88">
        <f t="shared" ca="1" si="2"/>
        <v>8.4527724227186773</v>
      </c>
      <c r="U2" s="88">
        <f t="shared" ca="1" si="2"/>
        <v>8.8886574090997819</v>
      </c>
      <c r="V2" s="88">
        <f t="shared" ca="1" si="2"/>
        <v>9.3068302397791296</v>
      </c>
      <c r="W2" s="88">
        <f t="shared" ca="1" si="2"/>
        <v>9.7067450453782733</v>
      </c>
      <c r="X2" s="88">
        <f t="shared" ca="1" si="2"/>
        <v>10.113819169639587</v>
      </c>
      <c r="Y2" s="88">
        <f t="shared" ca="1" si="2"/>
        <v>10.503395938474448</v>
      </c>
      <c r="Z2" s="88">
        <f t="shared" ca="1" si="2"/>
        <v>10.902207252681492</v>
      </c>
      <c r="AA2" s="88">
        <f t="shared" ca="1" si="2"/>
        <v>11.309971719632619</v>
      </c>
      <c r="AB2" s="88">
        <f t="shared" ca="1" si="2"/>
        <v>11.702043077003092</v>
      </c>
      <c r="AC2" s="88">
        <f t="shared" ca="1" si="2"/>
        <v>12.104633284309825</v>
      </c>
      <c r="AD2" s="88">
        <f t="shared" ca="1" si="2"/>
        <v>12.492292759981952</v>
      </c>
      <c r="AE2" s="88">
        <f t="shared" ca="1" si="2"/>
        <v>12.891728390528755</v>
      </c>
      <c r="AF2" s="88">
        <f t="shared" ca="1" si="2"/>
        <v>13.302219282457045</v>
      </c>
      <c r="AG2" s="88">
        <f t="shared" ca="1" si="2"/>
        <v>13.69939766430379</v>
      </c>
      <c r="AH2" s="88">
        <f t="shared" ca="1" si="2"/>
        <v>14.108549595367652</v>
      </c>
      <c r="AI2" s="88">
        <f t="shared" ca="1" si="2"/>
        <v>14.505069767795534</v>
      </c>
      <c r="AJ2" s="88">
        <f t="shared" ca="1" si="2"/>
        <v>14.914257458017573</v>
      </c>
      <c r="AK2" s="88">
        <f t="shared" ca="1" si="2"/>
        <v>15.311475229204524</v>
      </c>
      <c r="AL2" s="88">
        <f t="shared" ca="1" si="2"/>
        <v>15.721858852768426</v>
      </c>
      <c r="AM2" s="88">
        <f t="shared" ca="1" si="2"/>
        <v>16.120912711264086</v>
      </c>
      <c r="AN2" s="88">
        <f t="shared" ca="1" si="2"/>
        <v>16.533461800679877</v>
      </c>
      <c r="AO2" s="88">
        <f t="shared" ref="AO2:BK2" ca="1" si="3">AN2+(AN16*AN15)</f>
        <v>16.935299088939541</v>
      </c>
      <c r="AP2" s="88">
        <f t="shared" ca="1" si="3"/>
        <v>17.326315678791062</v>
      </c>
      <c r="AQ2" s="88">
        <f t="shared" ca="1" si="3"/>
        <v>17.732323872968035</v>
      </c>
      <c r="AR2" s="88">
        <f t="shared" ca="1" si="3"/>
        <v>18.128111170349218</v>
      </c>
      <c r="AS2" s="88">
        <f t="shared" ca="1" si="3"/>
        <v>18.538805182588153</v>
      </c>
      <c r="AT2" s="88">
        <f t="shared" ca="1" si="3"/>
        <v>18.93985664374086</v>
      </c>
      <c r="AU2" s="88">
        <f t="shared" ca="1" si="3"/>
        <v>19.331180687227238</v>
      </c>
      <c r="AV2" s="88">
        <f t="shared" ca="1" si="3"/>
        <v>19.738424564310154</v>
      </c>
      <c r="AW2" s="88">
        <f t="shared" ca="1" si="3"/>
        <v>20.13649601592936</v>
      </c>
      <c r="AX2" s="88">
        <f t="shared" ca="1" si="3"/>
        <v>20.55010682650272</v>
      </c>
      <c r="AY2" s="88">
        <f t="shared" ca="1" si="3"/>
        <v>20.955083433425138</v>
      </c>
      <c r="AZ2" s="88">
        <f t="shared" ca="1" si="3"/>
        <v>21.351346933734838</v>
      </c>
      <c r="BA2" s="88">
        <f t="shared" ca="1" si="3"/>
        <v>21.763790845640742</v>
      </c>
      <c r="BB2" s="88">
        <f t="shared" ca="1" si="3"/>
        <v>22.168038617757848</v>
      </c>
      <c r="BC2" s="88">
        <f t="shared" ca="1" si="3"/>
        <v>22.564021275008137</v>
      </c>
      <c r="BD2" s="88">
        <f t="shared" ca="1" si="3"/>
        <v>22.97661669270126</v>
      </c>
      <c r="BE2" s="88">
        <f t="shared" ca="1" si="3"/>
        <v>23.381443833531559</v>
      </c>
      <c r="BF2" s="88">
        <f t="shared" ca="1" si="3"/>
        <v>23.778439516451048</v>
      </c>
      <c r="BG2" s="88">
        <f t="shared" ca="1" si="3"/>
        <v>24.192300099439326</v>
      </c>
      <c r="BH2" s="88">
        <f t="shared" ca="1" si="3"/>
        <v>24.598807799881346</v>
      </c>
      <c r="BI2" s="88">
        <f t="shared" ca="1" si="3"/>
        <v>24.997902505780591</v>
      </c>
      <c r="BJ2" s="88">
        <f t="shared" ca="1" si="3"/>
        <v>25.413959606944459</v>
      </c>
      <c r="BK2" s="88">
        <f t="shared" ca="1" si="3"/>
        <v>25.823066030044853</v>
      </c>
    </row>
    <row r="3" spans="1:94" ht="43.5" x14ac:dyDescent="0.35">
      <c r="A3" s="188"/>
      <c r="C3" s="80" t="s">
        <v>143</v>
      </c>
    </row>
    <row r="4" spans="1:94" x14ac:dyDescent="0.35">
      <c r="A4" s="188"/>
      <c r="B4" s="40" t="s">
        <v>142</v>
      </c>
      <c r="D4">
        <f>((C6*3.14*(2*(D2)+2.436)^2)/44000)*100</f>
        <v>4.0778255583999998</v>
      </c>
      <c r="E4">
        <f t="shared" ref="E4:BK4" si="4">((D6*3.14*(2*(E2)+2.436)^2)/44000)*100</f>
        <v>6.7968143583999998</v>
      </c>
      <c r="F4">
        <f t="shared" si="4"/>
        <v>10.2066031584</v>
      </c>
      <c r="G4">
        <f t="shared" si="4"/>
        <v>14.307191958399997</v>
      </c>
      <c r="H4">
        <f t="shared" si="4"/>
        <v>19.098580758399997</v>
      </c>
      <c r="I4">
        <f t="shared" ca="1" si="4"/>
        <v>23.565035279127269</v>
      </c>
      <c r="J4">
        <f t="shared" ca="1" si="4"/>
        <v>27.576717205672725</v>
      </c>
      <c r="K4">
        <f t="shared" ca="1" si="4"/>
        <v>32.954214866036359</v>
      </c>
      <c r="L4">
        <f t="shared" ca="1" si="4"/>
        <v>38.638975799127273</v>
      </c>
      <c r="M4">
        <f t="shared" ca="1" si="4"/>
        <v>42.380846089309095</v>
      </c>
      <c r="N4">
        <f t="shared" ca="1" si="4"/>
        <v>45.605815288581816</v>
      </c>
      <c r="O4">
        <f t="shared" ca="1" si="4"/>
        <v>52.647042634036367</v>
      </c>
      <c r="P4">
        <f t="shared" ca="1" si="4"/>
        <v>60.193524524945452</v>
      </c>
      <c r="Q4">
        <f t="shared" ca="1" si="4"/>
        <v>68.245260961309086</v>
      </c>
      <c r="R4">
        <f t="shared" ca="1" si="4"/>
        <v>76.802251943127274</v>
      </c>
      <c r="S4">
        <f t="shared" ca="1" si="4"/>
        <v>85.864497470399996</v>
      </c>
      <c r="T4">
        <f t="shared" ca="1" si="4"/>
        <v>94.506689780882709</v>
      </c>
      <c r="U4">
        <f t="shared" ca="1" si="4"/>
        <v>103.21797007333477</v>
      </c>
      <c r="V4">
        <f t="shared" ca="1" si="4"/>
        <v>111.93616513636968</v>
      </c>
      <c r="W4">
        <f t="shared" ca="1" si="4"/>
        <v>108.54388338950636</v>
      </c>
      <c r="X4">
        <f t="shared" ca="1" si="4"/>
        <v>116.78363944017399</v>
      </c>
      <c r="Y4">
        <f t="shared" ca="1" si="4"/>
        <v>112.45633262187944</v>
      </c>
      <c r="Z4">
        <f t="shared" ca="1" si="4"/>
        <v>108.21509516754723</v>
      </c>
      <c r="AA4">
        <f t="shared" ca="1" si="4"/>
        <v>115.61901947553399</v>
      </c>
      <c r="AB4">
        <f t="shared" ca="1" si="4"/>
        <v>110.67210898347209</v>
      </c>
      <c r="AC4">
        <f t="shared" ca="1" si="4"/>
        <v>117.67668082641838</v>
      </c>
      <c r="AD4">
        <f t="shared" ca="1" si="4"/>
        <v>112.16212510383757</v>
      </c>
      <c r="AE4">
        <f t="shared" ca="1" si="4"/>
        <v>106.91351031833432</v>
      </c>
      <c r="AF4">
        <f t="shared" ca="1" si="4"/>
        <v>113.22481811988263</v>
      </c>
      <c r="AG4">
        <f t="shared" ca="1" si="4"/>
        <v>107.55334587977802</v>
      </c>
      <c r="AH4">
        <f t="shared" ca="1" si="4"/>
        <v>113.53416775714771</v>
      </c>
      <c r="AI4">
        <f t="shared" ca="1" si="4"/>
        <v>107.5362737171143</v>
      </c>
      <c r="AJ4">
        <f t="shared" ca="1" si="4"/>
        <v>113.20629816184484</v>
      </c>
      <c r="AK4">
        <f t="shared" ca="1" si="4"/>
        <v>106.96481438566438</v>
      </c>
      <c r="AL4">
        <f t="shared" ca="1" si="4"/>
        <v>112.34206036247261</v>
      </c>
      <c r="AM4">
        <f t="shared" ca="1" si="4"/>
        <v>105.92757737628756</v>
      </c>
      <c r="AN4">
        <f t="shared" ca="1" si="4"/>
        <v>111.02826768122718</v>
      </c>
      <c r="AO4">
        <f t="shared" ca="1" si="4"/>
        <v>116.11182345309825</v>
      </c>
      <c r="AP4">
        <f t="shared" ca="1" si="4"/>
        <v>109.0509496933507</v>
      </c>
      <c r="AQ4">
        <f t="shared" ca="1" si="4"/>
        <v>113.87833329069954</v>
      </c>
      <c r="AR4">
        <f t="shared" ca="1" si="4"/>
        <v>106.8163408154744</v>
      </c>
      <c r="AS4">
        <f t="shared" ca="1" si="4"/>
        <v>111.39963631190209</v>
      </c>
      <c r="AT4">
        <f t="shared" ca="1" si="4"/>
        <v>115.96823378543274</v>
      </c>
      <c r="AU4">
        <f t="shared" ca="1" si="4"/>
        <v>108.4630641606624</v>
      </c>
      <c r="AV4">
        <f t="shared" ca="1" si="4"/>
        <v>112.80470768527557</v>
      </c>
      <c r="AW4">
        <f t="shared" ca="1" si="4"/>
        <v>105.41781478118605</v>
      </c>
      <c r="AX4">
        <f t="shared" ca="1" si="4"/>
        <v>109.54099393147993</v>
      </c>
      <c r="AY4">
        <f t="shared" ca="1" si="4"/>
        <v>113.65473650387842</v>
      </c>
      <c r="AZ4">
        <f t="shared" ca="1" si="4"/>
        <v>105.97803227312292</v>
      </c>
      <c r="BA4">
        <f t="shared" ca="1" si="4"/>
        <v>109.88681916449255</v>
      </c>
      <c r="BB4">
        <f t="shared" ca="1" si="4"/>
        <v>113.78661856461214</v>
      </c>
      <c r="BC4">
        <f t="shared" ca="1" si="4"/>
        <v>105.90535066212077</v>
      </c>
      <c r="BD4">
        <f t="shared" ca="1" si="4"/>
        <v>109.61194098214251</v>
      </c>
      <c r="BE4">
        <f t="shared" ca="1" si="4"/>
        <v>113.31070784176012</v>
      </c>
      <c r="BF4">
        <f t="shared" ca="1" si="4"/>
        <v>105.297773951181</v>
      </c>
      <c r="BG4">
        <f t="shared" ca="1" si="4"/>
        <v>108.81342334961741</v>
      </c>
      <c r="BH4">
        <f t="shared" ca="1" si="4"/>
        <v>112.32281226549996</v>
      </c>
      <c r="BI4">
        <f t="shared" ca="1" si="4"/>
        <v>104.24014850296672</v>
      </c>
      <c r="BJ4">
        <f t="shared" ca="1" si="4"/>
        <v>107.57507108800071</v>
      </c>
      <c r="BK4">
        <f t="shared" ca="1" si="4"/>
        <v>110.90548161657171</v>
      </c>
    </row>
    <row r="5" spans="1:94" ht="29" x14ac:dyDescent="0.35">
      <c r="A5" s="188"/>
      <c r="B5" s="40"/>
      <c r="C5" s="80" t="s">
        <v>139</v>
      </c>
    </row>
    <row r="6" spans="1:94" x14ac:dyDescent="0.35">
      <c r="A6" s="188"/>
      <c r="B6" s="40" t="s">
        <v>137</v>
      </c>
      <c r="C6" s="83">
        <f>'Cost Budgets'!B3</f>
        <v>48.4</v>
      </c>
      <c r="D6" s="84">
        <f>C6</f>
        <v>48.4</v>
      </c>
      <c r="E6" s="84">
        <f>D6-E10</f>
        <v>48.4</v>
      </c>
      <c r="F6" s="84">
        <f t="shared" ref="F6:G6" si="5">E6-F10</f>
        <v>48.4</v>
      </c>
      <c r="G6" s="84">
        <f t="shared" si="5"/>
        <v>48.4</v>
      </c>
      <c r="H6" s="84">
        <f t="shared" ref="H6:BK6" ca="1" si="6">G6-(G8+H10)</f>
        <v>46.4</v>
      </c>
      <c r="I6" s="84">
        <f t="shared" ca="1" si="6"/>
        <v>43.4</v>
      </c>
      <c r="J6" s="84">
        <f t="shared" ca="1" si="6"/>
        <v>42.4</v>
      </c>
      <c r="K6" s="84">
        <f t="shared" ca="1" si="6"/>
        <v>41.4</v>
      </c>
      <c r="L6" s="84">
        <f t="shared" ca="1" si="6"/>
        <v>38.4</v>
      </c>
      <c r="M6" s="84">
        <f t="shared" ca="1" si="6"/>
        <v>35.4</v>
      </c>
      <c r="N6" s="84">
        <f t="shared" ca="1" si="6"/>
        <v>35.4</v>
      </c>
      <c r="O6" s="84">
        <f t="shared" ca="1" si="6"/>
        <v>35.4</v>
      </c>
      <c r="P6" s="84">
        <f t="shared" ca="1" si="6"/>
        <v>35.4</v>
      </c>
      <c r="Q6" s="84">
        <f t="shared" ca="1" si="6"/>
        <v>35.4</v>
      </c>
      <c r="R6" s="84">
        <f t="shared" ca="1" si="6"/>
        <v>35.4</v>
      </c>
      <c r="S6" s="84">
        <f t="shared" ca="1" si="6"/>
        <v>35.4</v>
      </c>
      <c r="T6" s="84">
        <f t="shared" ca="1" si="6"/>
        <v>35.4</v>
      </c>
      <c r="U6" s="84">
        <f t="shared" ca="1" si="6"/>
        <v>35.4</v>
      </c>
      <c r="V6" s="84">
        <f t="shared" ca="1" si="6"/>
        <v>31.86</v>
      </c>
      <c r="W6" s="84">
        <f t="shared" ca="1" si="6"/>
        <v>31.86</v>
      </c>
      <c r="X6" s="84">
        <f t="shared" ca="1" si="6"/>
        <v>28.673999999999999</v>
      </c>
      <c r="Y6" s="84">
        <f t="shared" ca="1" si="6"/>
        <v>25.8066</v>
      </c>
      <c r="Z6" s="84">
        <f t="shared" ca="1" si="6"/>
        <v>25.8066</v>
      </c>
      <c r="AA6" s="84">
        <f t="shared" ca="1" si="6"/>
        <v>23.225940000000001</v>
      </c>
      <c r="AB6" s="84">
        <f t="shared" ca="1" si="6"/>
        <v>23.225940000000001</v>
      </c>
      <c r="AC6" s="84">
        <f t="shared" ca="1" si="6"/>
        <v>20.903346000000003</v>
      </c>
      <c r="AD6" s="84">
        <f t="shared" ca="1" si="6"/>
        <v>18.813011400000001</v>
      </c>
      <c r="AE6" s="84">
        <f t="shared" ca="1" si="6"/>
        <v>18.813011400000001</v>
      </c>
      <c r="AF6" s="84">
        <f t="shared" ca="1" si="6"/>
        <v>16.931710259999999</v>
      </c>
      <c r="AG6" s="84">
        <f t="shared" ca="1" si="6"/>
        <v>16.931710259999999</v>
      </c>
      <c r="AH6" s="84">
        <f t="shared" ca="1" si="6"/>
        <v>15.238539233999999</v>
      </c>
      <c r="AI6" s="84">
        <f t="shared" ca="1" si="6"/>
        <v>15.238539233999999</v>
      </c>
      <c r="AJ6" s="84">
        <f t="shared" ca="1" si="6"/>
        <v>13.7146853106</v>
      </c>
      <c r="AK6" s="84">
        <f t="shared" ca="1" si="6"/>
        <v>13.7146853106</v>
      </c>
      <c r="AL6" s="84">
        <f t="shared" ca="1" si="6"/>
        <v>12.343216779540001</v>
      </c>
      <c r="AM6" s="84">
        <f t="shared" ca="1" si="6"/>
        <v>12.343216779540001</v>
      </c>
      <c r="AN6" s="84">
        <f t="shared" ca="1" si="6"/>
        <v>12.343216779540001</v>
      </c>
      <c r="AO6" s="84">
        <f t="shared" ca="1" si="6"/>
        <v>11.108895101586</v>
      </c>
      <c r="AP6" s="84">
        <f t="shared" ca="1" si="6"/>
        <v>11.108895101586</v>
      </c>
      <c r="AQ6" s="84">
        <f t="shared" ca="1" si="6"/>
        <v>9.9980055914274004</v>
      </c>
      <c r="AR6" s="84">
        <f t="shared" ca="1" si="6"/>
        <v>9.9980055914274004</v>
      </c>
      <c r="AS6" s="84">
        <f t="shared" ca="1" si="6"/>
        <v>9.9980055914274004</v>
      </c>
      <c r="AT6" s="84">
        <f t="shared" ca="1" si="6"/>
        <v>8.9982050322846607</v>
      </c>
      <c r="AU6" s="84">
        <f t="shared" ca="1" si="6"/>
        <v>8.9982050322846607</v>
      </c>
      <c r="AV6" s="84">
        <f t="shared" ca="1" si="6"/>
        <v>8.0983845290561938</v>
      </c>
      <c r="AW6" s="84">
        <f t="shared" ca="1" si="6"/>
        <v>8.0983845290561938</v>
      </c>
      <c r="AX6" s="84">
        <f t="shared" ca="1" si="6"/>
        <v>8.0983845290561938</v>
      </c>
      <c r="AY6" s="84">
        <f t="shared" ca="1" si="6"/>
        <v>7.288546076150574</v>
      </c>
      <c r="AZ6" s="84">
        <f t="shared" ca="1" si="6"/>
        <v>7.288546076150574</v>
      </c>
      <c r="BA6" s="84">
        <f t="shared" ca="1" si="6"/>
        <v>7.288546076150574</v>
      </c>
      <c r="BB6" s="84">
        <f t="shared" ca="1" si="6"/>
        <v>6.559691468535517</v>
      </c>
      <c r="BC6" s="84">
        <f t="shared" ca="1" si="6"/>
        <v>6.559691468535517</v>
      </c>
      <c r="BD6" s="84">
        <f t="shared" ca="1" si="6"/>
        <v>6.559691468535517</v>
      </c>
      <c r="BE6" s="84">
        <f t="shared" ca="1" si="6"/>
        <v>5.9037223216819648</v>
      </c>
      <c r="BF6" s="84">
        <f t="shared" ca="1" si="6"/>
        <v>5.9037223216819648</v>
      </c>
      <c r="BG6" s="84">
        <f t="shared" ca="1" si="6"/>
        <v>5.9037223216819648</v>
      </c>
      <c r="BH6" s="84">
        <f t="shared" ca="1" si="6"/>
        <v>5.3133500895137686</v>
      </c>
      <c r="BI6" s="84">
        <f t="shared" ca="1" si="6"/>
        <v>5.3133500895137686</v>
      </c>
      <c r="BJ6" s="84">
        <f t="shared" ca="1" si="6"/>
        <v>5.3133500895137686</v>
      </c>
      <c r="BK6" s="84">
        <f t="shared" ca="1" si="6"/>
        <v>5.3133500895137686</v>
      </c>
    </row>
    <row r="7" spans="1:94" x14ac:dyDescent="0.35">
      <c r="A7" s="188"/>
      <c r="B7" s="40"/>
      <c r="C7" s="83"/>
    </row>
    <row r="8" spans="1:94" x14ac:dyDescent="0.35">
      <c r="A8" s="188"/>
      <c r="B8" s="60" t="s">
        <v>146</v>
      </c>
      <c r="C8" s="97">
        <v>0.08</v>
      </c>
      <c r="D8" s="85">
        <f t="shared" ref="D8:AI8" ca="1" si="7">IF(D1&lt;10,RANDBETWEEN(0,($C$8*C6)),0)</f>
        <v>0</v>
      </c>
      <c r="E8" s="85">
        <f t="shared" ca="1" si="7"/>
        <v>3</v>
      </c>
      <c r="F8" s="85">
        <f t="shared" ca="1" si="7"/>
        <v>0</v>
      </c>
      <c r="G8" s="85">
        <f t="shared" ca="1" si="7"/>
        <v>2</v>
      </c>
      <c r="H8" s="85">
        <f t="shared" ca="1" si="7"/>
        <v>3</v>
      </c>
      <c r="I8" s="85">
        <f t="shared" ca="1" si="7"/>
        <v>1</v>
      </c>
      <c r="J8" s="85">
        <f t="shared" ca="1" si="7"/>
        <v>1</v>
      </c>
      <c r="K8" s="85">
        <f t="shared" ca="1" si="7"/>
        <v>3</v>
      </c>
      <c r="L8" s="85">
        <f t="shared" ca="1" si="7"/>
        <v>3</v>
      </c>
      <c r="M8" s="85">
        <f t="shared" ca="1" si="7"/>
        <v>0</v>
      </c>
      <c r="N8" s="85">
        <f t="shared" ca="1" si="7"/>
        <v>0</v>
      </c>
      <c r="O8" s="85">
        <f t="shared" ca="1" si="7"/>
        <v>0</v>
      </c>
      <c r="P8" s="85">
        <f t="shared" ca="1" si="7"/>
        <v>0</v>
      </c>
      <c r="Q8" s="85">
        <f t="shared" ca="1" si="7"/>
        <v>0</v>
      </c>
      <c r="R8" s="85">
        <f t="shared" ca="1" si="7"/>
        <v>0</v>
      </c>
      <c r="S8" s="85">
        <f t="shared" ca="1" si="7"/>
        <v>0</v>
      </c>
      <c r="T8" s="85">
        <f t="shared" ca="1" si="7"/>
        <v>0</v>
      </c>
      <c r="U8" s="85">
        <f t="shared" ca="1" si="7"/>
        <v>0</v>
      </c>
      <c r="V8" s="85">
        <f t="shared" ca="1" si="7"/>
        <v>0</v>
      </c>
      <c r="W8" s="85">
        <f t="shared" ca="1" si="7"/>
        <v>0</v>
      </c>
      <c r="X8" s="85">
        <f t="shared" ca="1" si="7"/>
        <v>0</v>
      </c>
      <c r="Y8" s="85">
        <f t="shared" ca="1" si="7"/>
        <v>0</v>
      </c>
      <c r="Z8" s="85">
        <f t="shared" ca="1" si="7"/>
        <v>0</v>
      </c>
      <c r="AA8" s="85">
        <f t="shared" ca="1" si="7"/>
        <v>0</v>
      </c>
      <c r="AB8" s="85">
        <f t="shared" ca="1" si="7"/>
        <v>0</v>
      </c>
      <c r="AC8" s="85">
        <f t="shared" ca="1" si="7"/>
        <v>0</v>
      </c>
      <c r="AD8" s="85">
        <f t="shared" ca="1" si="7"/>
        <v>0</v>
      </c>
      <c r="AE8" s="85">
        <f t="shared" ca="1" si="7"/>
        <v>0</v>
      </c>
      <c r="AF8" s="85">
        <f t="shared" ca="1" si="7"/>
        <v>0</v>
      </c>
      <c r="AG8" s="85">
        <f t="shared" ca="1" si="7"/>
        <v>0</v>
      </c>
      <c r="AH8" s="85">
        <f t="shared" ca="1" si="7"/>
        <v>0</v>
      </c>
      <c r="AI8" s="85">
        <f t="shared" ca="1" si="7"/>
        <v>0</v>
      </c>
      <c r="AJ8" s="85">
        <f t="shared" ref="AJ8:BK8" ca="1" si="8">IF(AJ1&lt;10,RANDBETWEEN(0,($C$8*AI6)),0)</f>
        <v>0</v>
      </c>
      <c r="AK8" s="85">
        <f t="shared" ca="1" si="8"/>
        <v>0</v>
      </c>
      <c r="AL8" s="85">
        <f t="shared" ca="1" si="8"/>
        <v>0</v>
      </c>
      <c r="AM8" s="85">
        <f t="shared" ca="1" si="8"/>
        <v>0</v>
      </c>
      <c r="AN8" s="85">
        <f t="shared" ca="1" si="8"/>
        <v>0</v>
      </c>
      <c r="AO8" s="85">
        <f t="shared" ca="1" si="8"/>
        <v>0</v>
      </c>
      <c r="AP8" s="85">
        <f t="shared" ca="1" si="8"/>
        <v>0</v>
      </c>
      <c r="AQ8" s="85">
        <f t="shared" ca="1" si="8"/>
        <v>0</v>
      </c>
      <c r="AR8" s="85">
        <f t="shared" ca="1" si="8"/>
        <v>0</v>
      </c>
      <c r="AS8" s="85">
        <f t="shared" ca="1" si="8"/>
        <v>0</v>
      </c>
      <c r="AT8" s="85">
        <f t="shared" ca="1" si="8"/>
        <v>0</v>
      </c>
      <c r="AU8" s="85">
        <f t="shared" ca="1" si="8"/>
        <v>0</v>
      </c>
      <c r="AV8" s="85">
        <f t="shared" ca="1" si="8"/>
        <v>0</v>
      </c>
      <c r="AW8" s="85">
        <f t="shared" ca="1" si="8"/>
        <v>0</v>
      </c>
      <c r="AX8" s="85">
        <f t="shared" ca="1" si="8"/>
        <v>0</v>
      </c>
      <c r="AY8" s="85">
        <f t="shared" ca="1" si="8"/>
        <v>0</v>
      </c>
      <c r="AZ8" s="85">
        <f t="shared" ca="1" si="8"/>
        <v>0</v>
      </c>
      <c r="BA8" s="85">
        <f t="shared" ca="1" si="8"/>
        <v>0</v>
      </c>
      <c r="BB8" s="85">
        <f t="shared" ca="1" si="8"/>
        <v>0</v>
      </c>
      <c r="BC8" s="85">
        <f t="shared" ca="1" si="8"/>
        <v>0</v>
      </c>
      <c r="BD8" s="85">
        <f t="shared" ca="1" si="8"/>
        <v>0</v>
      </c>
      <c r="BE8" s="85">
        <f t="shared" ca="1" si="8"/>
        <v>0</v>
      </c>
      <c r="BF8" s="85">
        <f t="shared" ca="1" si="8"/>
        <v>0</v>
      </c>
      <c r="BG8" s="85">
        <f t="shared" ca="1" si="8"/>
        <v>0</v>
      </c>
      <c r="BH8" s="85">
        <f t="shared" ca="1" si="8"/>
        <v>0</v>
      </c>
      <c r="BI8" s="85">
        <f t="shared" ca="1" si="8"/>
        <v>0</v>
      </c>
      <c r="BJ8" s="85">
        <f t="shared" ca="1" si="8"/>
        <v>0</v>
      </c>
      <c r="BK8" s="85">
        <f t="shared" ca="1" si="8"/>
        <v>0</v>
      </c>
    </row>
    <row r="9" spans="1:94" ht="29" x14ac:dyDescent="0.35">
      <c r="A9" s="188"/>
      <c r="C9" s="80" t="s">
        <v>140</v>
      </c>
    </row>
    <row r="10" spans="1:94" x14ac:dyDescent="0.35">
      <c r="A10" s="188"/>
      <c r="B10" s="40" t="s">
        <v>138</v>
      </c>
      <c r="C10" s="24">
        <f>'Management Input'!E21</f>
        <v>0.1</v>
      </c>
      <c r="D10" s="89">
        <f>IF(D15&gt;0.8,0,(D6*($C$10)))</f>
        <v>0</v>
      </c>
      <c r="E10" s="89">
        <f t="shared" ref="E10:AJ10" si="9">IF(E15&gt;0.8,0,((D6-D8)*($C$10)))</f>
        <v>0</v>
      </c>
      <c r="F10" s="89">
        <f t="shared" si="9"/>
        <v>0</v>
      </c>
      <c r="G10" s="89">
        <f t="shared" si="9"/>
        <v>0</v>
      </c>
      <c r="H10" s="89">
        <f t="shared" si="9"/>
        <v>0</v>
      </c>
      <c r="I10" s="89">
        <f t="shared" ca="1" si="9"/>
        <v>0</v>
      </c>
      <c r="J10" s="89">
        <f t="shared" ca="1" si="9"/>
        <v>0</v>
      </c>
      <c r="K10" s="89">
        <f t="shared" ca="1" si="9"/>
        <v>0</v>
      </c>
      <c r="L10" s="89">
        <f t="shared" ca="1" si="9"/>
        <v>0</v>
      </c>
      <c r="M10" s="89">
        <f t="shared" ca="1" si="9"/>
        <v>0</v>
      </c>
      <c r="N10" s="89">
        <f t="shared" ca="1" si="9"/>
        <v>0</v>
      </c>
      <c r="O10" s="89">
        <f t="shared" ca="1" si="9"/>
        <v>0</v>
      </c>
      <c r="P10" s="89">
        <f t="shared" ca="1" si="9"/>
        <v>0</v>
      </c>
      <c r="Q10" s="89">
        <f t="shared" ca="1" si="9"/>
        <v>0</v>
      </c>
      <c r="R10" s="89">
        <f t="shared" ca="1" si="9"/>
        <v>0</v>
      </c>
      <c r="S10" s="89">
        <f t="shared" ca="1" si="9"/>
        <v>0</v>
      </c>
      <c r="T10" s="89">
        <f t="shared" ca="1" si="9"/>
        <v>0</v>
      </c>
      <c r="U10" s="89">
        <f t="shared" ca="1" si="9"/>
        <v>0</v>
      </c>
      <c r="V10" s="89">
        <f t="shared" ca="1" si="9"/>
        <v>3.54</v>
      </c>
      <c r="W10" s="89">
        <f t="shared" ca="1" si="9"/>
        <v>0</v>
      </c>
      <c r="X10" s="89">
        <f t="shared" ca="1" si="9"/>
        <v>3.1859999999999999</v>
      </c>
      <c r="Y10" s="89">
        <f t="shared" ca="1" si="9"/>
        <v>2.8673999999999999</v>
      </c>
      <c r="Z10" s="89">
        <f t="shared" ca="1" si="9"/>
        <v>0</v>
      </c>
      <c r="AA10" s="89">
        <f t="shared" ca="1" si="9"/>
        <v>2.58066</v>
      </c>
      <c r="AB10" s="89">
        <f t="shared" ca="1" si="9"/>
        <v>0</v>
      </c>
      <c r="AC10" s="89">
        <f t="shared" ca="1" si="9"/>
        <v>2.322594</v>
      </c>
      <c r="AD10" s="89">
        <f t="shared" ca="1" si="9"/>
        <v>2.0903346000000003</v>
      </c>
      <c r="AE10" s="89">
        <f t="shared" ca="1" si="9"/>
        <v>0</v>
      </c>
      <c r="AF10" s="89">
        <f t="shared" ca="1" si="9"/>
        <v>1.8813011400000001</v>
      </c>
      <c r="AG10" s="89">
        <f t="shared" ca="1" si="9"/>
        <v>0</v>
      </c>
      <c r="AH10" s="89">
        <f t="shared" ca="1" si="9"/>
        <v>1.6931710259999999</v>
      </c>
      <c r="AI10" s="89">
        <f t="shared" ca="1" si="9"/>
        <v>0</v>
      </c>
      <c r="AJ10" s="89">
        <f t="shared" ca="1" si="9"/>
        <v>1.5238539233999999</v>
      </c>
      <c r="AK10" s="89">
        <f t="shared" ref="AK10:BK10" ca="1" si="10">IF(AK15&gt;0.8,0,((AJ6-AJ8)*($C$10)))</f>
        <v>0</v>
      </c>
      <c r="AL10" s="89">
        <f t="shared" ca="1" si="10"/>
        <v>1.3714685310600001</v>
      </c>
      <c r="AM10" s="89">
        <f t="shared" ca="1" si="10"/>
        <v>0</v>
      </c>
      <c r="AN10" s="89">
        <f t="shared" ca="1" si="10"/>
        <v>0</v>
      </c>
      <c r="AO10" s="89">
        <f t="shared" ca="1" si="10"/>
        <v>1.2343216779540001</v>
      </c>
      <c r="AP10" s="89">
        <f t="shared" ca="1" si="10"/>
        <v>0</v>
      </c>
      <c r="AQ10" s="89">
        <f t="shared" ca="1" si="10"/>
        <v>1.1108895101586</v>
      </c>
      <c r="AR10" s="89">
        <f t="shared" ca="1" si="10"/>
        <v>0</v>
      </c>
      <c r="AS10" s="89">
        <f t="shared" ca="1" si="10"/>
        <v>0</v>
      </c>
      <c r="AT10" s="89">
        <f t="shared" ca="1" si="10"/>
        <v>0.99980055914274013</v>
      </c>
      <c r="AU10" s="89">
        <f t="shared" ca="1" si="10"/>
        <v>0</v>
      </c>
      <c r="AV10" s="89">
        <f t="shared" ca="1" si="10"/>
        <v>0.89982050322846607</v>
      </c>
      <c r="AW10" s="89">
        <f t="shared" ca="1" si="10"/>
        <v>0</v>
      </c>
      <c r="AX10" s="89">
        <f t="shared" ca="1" si="10"/>
        <v>0</v>
      </c>
      <c r="AY10" s="89">
        <f t="shared" ca="1" si="10"/>
        <v>0.8098384529056194</v>
      </c>
      <c r="AZ10" s="89">
        <f t="shared" ca="1" si="10"/>
        <v>0</v>
      </c>
      <c r="BA10" s="89">
        <f t="shared" ca="1" si="10"/>
        <v>0</v>
      </c>
      <c r="BB10" s="89">
        <f t="shared" ca="1" si="10"/>
        <v>0.72885460761505749</v>
      </c>
      <c r="BC10" s="89">
        <f t="shared" ca="1" si="10"/>
        <v>0</v>
      </c>
      <c r="BD10" s="89">
        <f t="shared" ca="1" si="10"/>
        <v>0</v>
      </c>
      <c r="BE10" s="89">
        <f t="shared" ca="1" si="10"/>
        <v>0.65596914685355179</v>
      </c>
      <c r="BF10" s="89">
        <f t="shared" ca="1" si="10"/>
        <v>0</v>
      </c>
      <c r="BG10" s="89">
        <f t="shared" ca="1" si="10"/>
        <v>0</v>
      </c>
      <c r="BH10" s="89">
        <f t="shared" ca="1" si="10"/>
        <v>0.59037223216819645</v>
      </c>
      <c r="BI10" s="89">
        <f t="shared" ca="1" si="10"/>
        <v>0</v>
      </c>
      <c r="BJ10" s="89">
        <f t="shared" ca="1" si="10"/>
        <v>0</v>
      </c>
      <c r="BK10" s="89">
        <f t="shared" ca="1" si="10"/>
        <v>0</v>
      </c>
    </row>
    <row r="11" spans="1:94" x14ac:dyDescent="0.35">
      <c r="A11" s="188"/>
    </row>
    <row r="12" spans="1:94" s="90" customFormat="1" x14ac:dyDescent="0.35">
      <c r="A12" s="188"/>
      <c r="B12" t="s">
        <v>149</v>
      </c>
      <c r="C12" s="91"/>
      <c r="D12" s="92">
        <f ca="1">'Growth models'!B32*(RANDBETWEEN(75,(100*D15))/100)</f>
        <v>-10.919588000000001</v>
      </c>
      <c r="E12" s="92">
        <f ca="1">'Growth models'!C32*(RANDBETWEEN(75,(100*E15))/100)</f>
        <v>-1.9854240000000007</v>
      </c>
      <c r="F12" s="92">
        <f ca="1">'Growth models'!D32*(RANDBETWEEN(75,(100*F15))/100)</f>
        <v>5.1495599999999975</v>
      </c>
      <c r="G12" s="92">
        <f ca="1">'Growth models'!E32*(RANDBETWEEN(75,(100*G15))/100)</f>
        <v>14.306747999999995</v>
      </c>
      <c r="H12" s="92">
        <f ca="1">'Growth models'!F32*(RANDBETWEEN(75,(100*H15))/100)</f>
        <v>18.518759999999997</v>
      </c>
      <c r="I12" s="92">
        <f ca="1">'Growth models'!G32*(RANDBETWEEN(75,(100*I15))/100)</f>
        <v>28.518119999999993</v>
      </c>
      <c r="J12" s="92">
        <f ca="1">'Growth models'!H32*(RANDBETWEEN(75,(100*J15))/100)</f>
        <v>38.050771999999995</v>
      </c>
      <c r="K12" s="92">
        <f ca="1">'Growth models'!I32*(RANDBETWEEN(75,(100*K15))/100)</f>
        <v>41.272859999999994</v>
      </c>
      <c r="L12" s="92">
        <f ca="1">'Growth models'!J32*(RANDBETWEEN(75,(100*L15))/100)</f>
        <v>39.851699999999987</v>
      </c>
      <c r="M12" s="92">
        <f ca="1">'Growth models'!K32*(RANDBETWEEN(75,(100*M15))/100)</f>
        <v>48.808039999999991</v>
      </c>
      <c r="N12" s="92">
        <f ca="1">'Growth models'!L32*(RANDBETWEEN(75,(100*N15))/100)</f>
        <v>63.576515999999984</v>
      </c>
      <c r="O12" s="92">
        <f ca="1">'Growth models'!M32*(RANDBETWEEN(75,(100*O15))/100)</f>
        <v>55.541927999999992</v>
      </c>
      <c r="P12" s="92">
        <f ca="1">'Growth models'!N32*(RANDBETWEEN(75,(100*P15))/100)</f>
        <v>76.525999999999968</v>
      </c>
      <c r="Q12" s="92">
        <f ca="1">'Growth models'!O32*(RANDBETWEEN(75,(100*Q15))/100)</f>
        <v>69.281459999999996</v>
      </c>
      <c r="R12" s="92">
        <f ca="1">'Growth models'!P32*(RANDBETWEEN(75,(100*R15))/100)</f>
        <v>71.514459999999985</v>
      </c>
      <c r="S12" s="92">
        <f ca="1">'Growth models'!Q32*(RANDBETWEEN(75,(100*S15))/100)</f>
        <v>76.923979999999986</v>
      </c>
      <c r="T12" s="92">
        <f ca="1">'Growth models'!R32*(RANDBETWEEN(75,(100*T15))/100)</f>
        <v>81.293735999999981</v>
      </c>
      <c r="U12" s="92">
        <f ca="1">'Growth models'!S32*(RANDBETWEEN(75,(100*U15))/100)</f>
        <v>74.67607999999997</v>
      </c>
      <c r="V12" s="92">
        <f ca="1">'Growth models'!T32*(RANDBETWEEN(75,(100*V15))/100)</f>
        <v>76.274699999999996</v>
      </c>
      <c r="W12" s="92">
        <f ca="1">'Growth models'!U32*(RANDBETWEEN(75,(100*W15))/100)</f>
        <v>78.646499999999989</v>
      </c>
      <c r="X12" s="92">
        <f ca="1">'Growth models'!V32*(RANDBETWEEN(75,(100*X15))/100)</f>
        <v>81.893647999999985</v>
      </c>
      <c r="Y12" s="92">
        <f ca="1">'Growth models'!W32*(RANDBETWEEN(75,(100*Y15))/100)</f>
        <v>82.790699999999987</v>
      </c>
      <c r="Z12" s="92">
        <f ca="1">'Growth models'!X32*(RANDBETWEEN(75,(100*Z15))/100)</f>
        <v>91.343699999999984</v>
      </c>
      <c r="AA12" s="92">
        <f ca="1">'Growth models'!Y32*(RANDBETWEEN(75,(100*AA15))/100)</f>
        <v>88.481931999999986</v>
      </c>
      <c r="AB12" s="92">
        <f ca="1">'Growth models'!Z32*(RANDBETWEEN(75,(100*AB15))/100)</f>
        <v>87.616499999999988</v>
      </c>
      <c r="AC12" s="92">
        <f ca="1">'Growth models'!AA32*(RANDBETWEEN(75,(100*AC15))/100)</f>
        <v>91.253315999999955</v>
      </c>
      <c r="AD12" s="92">
        <f ca="1">'Growth models'!AB32*(RANDBETWEEN(75,(100*AD15))/100)</f>
        <v>91.190575999999979</v>
      </c>
      <c r="AE12" s="92">
        <f ca="1">'Growth models'!AC32*(RANDBETWEEN(75,(100*AE15))/100)</f>
        <v>99.43483999999998</v>
      </c>
      <c r="AF12" s="92">
        <f ca="1">'Growth models'!AD32*(RANDBETWEEN(75,(100*AF15))/100)</f>
        <v>95.428007999999977</v>
      </c>
      <c r="AG12" s="92">
        <f ca="1">'Growth models'!AE32*(RANDBETWEEN(75,(100*AG15))/100)</f>
        <v>97.361180000000004</v>
      </c>
      <c r="AH12" s="92">
        <f ca="1">'Growth models'!AF32*(RANDBETWEEN(75,(100*AH15))/100)</f>
        <v>97.933771999999976</v>
      </c>
      <c r="AI12" s="92">
        <f ca="1">'Growth models'!AG32*(RANDBETWEEN(75,(100*AI15))/100)</f>
        <v>98.376803999999979</v>
      </c>
      <c r="AJ12" s="92">
        <f ca="1">'Growth models'!AH32*(RANDBETWEEN(75,(100*AJ15))/100)</f>
        <v>96.199179999999984</v>
      </c>
      <c r="AK12" s="92">
        <f ca="1">'Growth models'!AI32*(RANDBETWEEN(75,(100*AK15))/100)</f>
        <v>101.40843599999998</v>
      </c>
      <c r="AL12" s="92">
        <f ca="1">'Growth models'!AJ32*(RANDBETWEEN(75,(100*AL15))/100)</f>
        <v>97.751159999999999</v>
      </c>
      <c r="AM12" s="92">
        <f ca="1">'Growth models'!AK32*(RANDBETWEEN(75,(100*AM15))/100)</f>
        <v>100.25823999999997</v>
      </c>
      <c r="AN12" s="92">
        <f ca="1">'Growth models'!AL32*(RANDBETWEEN(75,(100*AN15))/100)</f>
        <v>96.409852000000001</v>
      </c>
      <c r="AO12" s="92">
        <f ca="1">'Growth models'!AM32*(RANDBETWEEN(75,(100*AO15))/100)</f>
        <v>94.989360000000019</v>
      </c>
      <c r="AP12" s="92">
        <f ca="1">'Growth models'!AN32*(RANDBETWEEN(75,(100*AP15))/100)</f>
        <v>98.487403999999984</v>
      </c>
      <c r="AQ12" s="92">
        <f ca="1">'Growth models'!AO32*(RANDBETWEEN(75,(100*AQ15))/100)</f>
        <v>93.196499999999986</v>
      </c>
      <c r="AR12" s="92">
        <f ca="1">'Growth models'!AP32*(RANDBETWEEN(75,(100*AR15))/100)</f>
        <v>96.547463999999934</v>
      </c>
      <c r="AS12" s="92">
        <f ca="1">'Growth models'!AQ32*(RANDBETWEEN(75,(100*AS15))/100)</f>
        <v>92.42069999999994</v>
      </c>
      <c r="AT12" s="92">
        <f ca="1">'Growth models'!AR32*(RANDBETWEEN(75,(100*AT15))/100)</f>
        <v>91.963499999999982</v>
      </c>
      <c r="AU12" s="92">
        <f ca="1">'Growth models'!AS32*(RANDBETWEEN(75,(100*AU15))/100)</f>
        <v>98.787275999999963</v>
      </c>
      <c r="AV12" s="92">
        <f ca="1">'Growth models'!AT32*(RANDBETWEEN(75,(100*AV15))/100)</f>
        <v>92.159119999999987</v>
      </c>
      <c r="AW12" s="92">
        <f ca="1">'Growth models'!AU32*(RANDBETWEEN(75,(100*AW15))/100)</f>
        <v>97.633188000000004</v>
      </c>
      <c r="AX12" s="92">
        <f ca="1">'Growth models'!AV32*(RANDBETWEEN(75,(100*AX15))/100)</f>
        <v>89.840699999999984</v>
      </c>
      <c r="AY12" s="92">
        <f ca="1">'Growth models'!AW32*(RANDBETWEEN(75,(100*AY15))/100)</f>
        <v>90.462799999999973</v>
      </c>
      <c r="AZ12" s="92">
        <f ca="1">'Growth models'!AX32*(RANDBETWEEN(75,(100*AZ15))/100)</f>
        <v>89.886415999999969</v>
      </c>
      <c r="BA12" s="92">
        <f ca="1">'Growth models'!AY32*(RANDBETWEEN(75,(100*BA15))/100)</f>
        <v>89.316719999999989</v>
      </c>
      <c r="BB12" s="92">
        <f ca="1">'Growth models'!AZ32*(RANDBETWEEN(75,(100*BB15))/100)</f>
        <v>89.928915999999987</v>
      </c>
      <c r="BC12" s="92">
        <f ca="1">'Growth models'!BA32*(RANDBETWEEN(75,(100*BC15))/100)</f>
        <v>90.548327999999913</v>
      </c>
      <c r="BD12" s="92">
        <f ca="1">'Growth models'!BB32*(RANDBETWEEN(75,(100*BD15))/100)</f>
        <v>87.720719999999972</v>
      </c>
      <c r="BE12" s="92">
        <f ca="1">'Growth models'!BC32*(RANDBETWEEN(75,(100*BE15))/100)</f>
        <v>90.694844000000003</v>
      </c>
      <c r="BF12" s="92">
        <f ca="1">'Growth models'!BD32*(RANDBETWEEN(75,(100*BF15))/100)</f>
        <v>91.393599999999964</v>
      </c>
      <c r="BG12" s="92">
        <f ca="1">'Growth models'!BE32*(RANDBETWEEN(75,(100*BG15))/100)</f>
        <v>90.997439999999997</v>
      </c>
      <c r="BH12" s="92">
        <f ca="1">'Growth models'!BF32*(RANDBETWEEN(75,(100*BH15))/100)</f>
        <v>84.995699999999999</v>
      </c>
      <c r="BI12" s="92">
        <f ca="1">'Growth models'!BG32*(RANDBETWEEN(75,(100*BI15))/100)</f>
        <v>91.525139999999965</v>
      </c>
      <c r="BJ12" s="92">
        <f ca="1">'Growth models'!BH32*(RANDBETWEEN(75,(100*BJ15))/100)</f>
        <v>85.694255999999996</v>
      </c>
      <c r="BK12" s="92">
        <f ca="1">'Growth models'!BI32*(RANDBETWEEN(75,(100*BK15))/100)</f>
        <v>86.718940000000003</v>
      </c>
    </row>
    <row r="13" spans="1:94" s="79" customFormat="1" x14ac:dyDescent="0.35">
      <c r="C13" s="82"/>
    </row>
    <row r="14" spans="1:94" s="13" customFormat="1" x14ac:dyDescent="0.35">
      <c r="B14" s="138" t="s">
        <v>173</v>
      </c>
      <c r="C14" s="101"/>
      <c r="D14" s="13">
        <f t="shared" ref="D14:AI14" ca="1" si="11">D12*D4</f>
        <v>-44.52817503359794</v>
      </c>
      <c r="E14" s="13">
        <f t="shared" ca="1" si="11"/>
        <v>-13.494558350711966</v>
      </c>
      <c r="F14" s="13">
        <f t="shared" ca="1" si="11"/>
        <v>52.559515360370277</v>
      </c>
      <c r="G14" s="13">
        <f t="shared" ca="1" si="11"/>
        <v>204.68938993645517</v>
      </c>
      <c r="H14" s="13">
        <f t="shared" ca="1" si="11"/>
        <v>353.68203340542749</v>
      </c>
      <c r="I14" s="13">
        <f t="shared" ca="1" si="11"/>
        <v>672.03050389438476</v>
      </c>
      <c r="J14" s="13">
        <f t="shared" ca="1" si="11"/>
        <v>1049.3153789015298</v>
      </c>
      <c r="K14" s="13">
        <f t="shared" ca="1" si="11"/>
        <v>1360.1146965758373</v>
      </c>
      <c r="L14" s="13">
        <f t="shared" ca="1" si="11"/>
        <v>1539.8288718540798</v>
      </c>
      <c r="M14" s="13">
        <f t="shared" ca="1" si="11"/>
        <v>2068.5260311608417</v>
      </c>
      <c r="N14" s="13">
        <f t="shared" ca="1" si="11"/>
        <v>2899.4588453875658</v>
      </c>
      <c r="O14" s="13">
        <f t="shared" ca="1" si="11"/>
        <v>2924.1182513925778</v>
      </c>
      <c r="P14" s="13">
        <f t="shared" ca="1" si="11"/>
        <v>4606.3696577959736</v>
      </c>
      <c r="Q14" s="13">
        <f t="shared" ca="1" si="11"/>
        <v>4728.1313174804964</v>
      </c>
      <c r="R14" s="13">
        <f t="shared" ca="1" si="11"/>
        <v>5492.471574496697</v>
      </c>
      <c r="S14" s="13">
        <f t="shared" ca="1" si="11"/>
        <v>6605.0388861230986</v>
      </c>
      <c r="T14" s="13">
        <f t="shared" ca="1" si="11"/>
        <v>7682.801889280975</v>
      </c>
      <c r="U14" s="13">
        <f t="shared" ca="1" si="11"/>
        <v>7707.9133906339503</v>
      </c>
      <c r="V14" s="13">
        <f t="shared" ca="1" si="11"/>
        <v>8537.8974149270562</v>
      </c>
      <c r="W14" s="13">
        <f t="shared" ca="1" si="11"/>
        <v>8536.5965249928104</v>
      </c>
      <c r="X14" s="13">
        <f t="shared" ca="1" si="11"/>
        <v>9563.838260472523</v>
      </c>
      <c r="Y14" s="13">
        <f t="shared" ca="1" si="11"/>
        <v>9310.3384971982323</v>
      </c>
      <c r="Z14" s="13">
        <f t="shared" ca="1" si="11"/>
        <v>9884.7671884558822</v>
      </c>
      <c r="AA14" s="13">
        <f t="shared" ca="1" si="11"/>
        <v>10230.194219140873</v>
      </c>
      <c r="AB14" s="13">
        <f t="shared" ca="1" si="11"/>
        <v>9696.7028367503808</v>
      </c>
      <c r="AC14" s="13">
        <f t="shared" ca="1" si="11"/>
        <v>10738.387341284291</v>
      </c>
      <c r="AD14" s="13">
        <f t="shared" ca="1" si="11"/>
        <v>10228.128793603006</v>
      </c>
      <c r="AE14" s="13">
        <f t="shared" ca="1" si="11"/>
        <v>10630.927792341919</v>
      </c>
      <c r="AF14" s="13">
        <f t="shared" ca="1" si="11"/>
        <v>10804.818849342702</v>
      </c>
      <c r="AG14" s="13">
        <f t="shared" ca="1" si="11"/>
        <v>10471.520667803326</v>
      </c>
      <c r="AH14" s="13">
        <f t="shared" ca="1" si="11"/>
        <v>11118.829299338253</v>
      </c>
      <c r="AI14" s="13">
        <f t="shared" ca="1" si="11"/>
        <v>10579.074922358903</v>
      </c>
      <c r="AJ14" s="13">
        <f t="shared" ref="AJ14:BK14" ca="1" si="12">AJ12*AJ4</f>
        <v>10890.35305400498</v>
      </c>
      <c r="AK14" s="13">
        <f t="shared" ca="1" si="12"/>
        <v>10847.134533880524</v>
      </c>
      <c r="AL14" s="13">
        <f t="shared" ca="1" si="12"/>
        <v>10981.566717221718</v>
      </c>
      <c r="AM14" s="13">
        <f t="shared" ca="1" si="12"/>
        <v>10620.112475210406</v>
      </c>
      <c r="AN14" s="13">
        <f t="shared" ca="1" si="12"/>
        <v>10704.218854963496</v>
      </c>
      <c r="AO14" s="13">
        <f t="shared" ca="1" si="12"/>
        <v>11029.387798242795</v>
      </c>
      <c r="AP14" s="13">
        <f t="shared" ca="1" si="12"/>
        <v>10740.144939032705</v>
      </c>
      <c r="AQ14" s="13">
        <f t="shared" ca="1" si="12"/>
        <v>10613.062088526678</v>
      </c>
      <c r="AR14" s="13">
        <f t="shared" ca="1" si="12"/>
        <v>10312.84681949374</v>
      </c>
      <c r="AS14" s="13">
        <f t="shared" ca="1" si="12"/>
        <v>10295.632367691402</v>
      </c>
      <c r="AT14" s="13">
        <f t="shared" ca="1" si="12"/>
        <v>10664.844667726642</v>
      </c>
      <c r="AU14" s="13">
        <f t="shared" ca="1" si="12"/>
        <v>10714.77065504506</v>
      </c>
      <c r="AV14" s="13">
        <f t="shared" ca="1" si="12"/>
        <v>10395.982592132232</v>
      </c>
      <c r="AW14" s="13">
        <f t="shared" ca="1" si="12"/>
        <v>10292.277329080716</v>
      </c>
      <c r="AX14" s="13">
        <f t="shared" ca="1" si="12"/>
        <v>9841.2395734999081</v>
      </c>
      <c r="AY14" s="13">
        <f t="shared" ca="1" si="12"/>
        <v>10281.525697403051</v>
      </c>
      <c r="AZ14" s="13">
        <f t="shared" ca="1" si="12"/>
        <v>9525.9854957633488</v>
      </c>
      <c r="BA14" s="13">
        <f t="shared" ca="1" si="12"/>
        <v>9814.7302590056133</v>
      </c>
      <c r="BB14" s="13">
        <f t="shared" ca="1" si="12"/>
        <v>10232.707262821044</v>
      </c>
      <c r="BC14" s="13">
        <f t="shared" ca="1" si="12"/>
        <v>9589.5524287087192</v>
      </c>
      <c r="BD14" s="13">
        <f t="shared" ca="1" si="12"/>
        <v>9615.2383835510445</v>
      </c>
      <c r="BE14" s="13">
        <f t="shared" ca="1" si="12"/>
        <v>10276.696971238011</v>
      </c>
      <c r="BF14" s="13">
        <f t="shared" ca="1" si="12"/>
        <v>9623.5426333846517</v>
      </c>
      <c r="BG14" s="13">
        <f t="shared" ca="1" si="12"/>
        <v>9901.7429624514098</v>
      </c>
      <c r="BH14" s="13">
        <f t="shared" ca="1" si="12"/>
        <v>9546.9560544747546</v>
      </c>
      <c r="BI14" s="13">
        <f t="shared" ca="1" si="12"/>
        <v>9540.5941853548156</v>
      </c>
      <c r="BJ14" s="13">
        <f t="shared" ca="1" si="12"/>
        <v>9218.5656810333312</v>
      </c>
      <c r="BK14" s="13">
        <f t="shared" ca="1" si="12"/>
        <v>9617.6058059785846</v>
      </c>
    </row>
    <row r="15" spans="1:94" s="90" customFormat="1" x14ac:dyDescent="0.35">
      <c r="A15" s="191" t="s">
        <v>144</v>
      </c>
      <c r="B15" s="191"/>
      <c r="C15" s="192"/>
      <c r="D15" s="94">
        <v>1</v>
      </c>
      <c r="E15" s="95">
        <f>IF(E4&lt;80,1,(1.411-(0.00485*E4)-(7.643/E4)))</f>
        <v>1</v>
      </c>
      <c r="F15" s="95">
        <f t="shared" ref="F15:BK15" si="13">IF(F4&lt;80,1,(1.411-(0.00485*F4)-(7.643/F4)))</f>
        <v>1</v>
      </c>
      <c r="G15" s="95">
        <f t="shared" si="13"/>
        <v>1</v>
      </c>
      <c r="H15" s="95">
        <f t="shared" si="13"/>
        <v>1</v>
      </c>
      <c r="I15" s="95">
        <f t="shared" ca="1" si="13"/>
        <v>1</v>
      </c>
      <c r="J15" s="95">
        <f t="shared" ca="1" si="13"/>
        <v>1</v>
      </c>
      <c r="K15" s="95">
        <f t="shared" ca="1" si="13"/>
        <v>1</v>
      </c>
      <c r="L15" s="95">
        <f t="shared" ca="1" si="13"/>
        <v>1</v>
      </c>
      <c r="M15" s="95">
        <f t="shared" ca="1" si="13"/>
        <v>1</v>
      </c>
      <c r="N15" s="95">
        <f t="shared" ca="1" si="13"/>
        <v>1</v>
      </c>
      <c r="O15" s="95">
        <f t="shared" ca="1" si="13"/>
        <v>1</v>
      </c>
      <c r="P15" s="95">
        <f t="shared" ca="1" si="13"/>
        <v>1</v>
      </c>
      <c r="Q15" s="95">
        <f t="shared" ca="1" si="13"/>
        <v>1</v>
      </c>
      <c r="R15" s="95">
        <f t="shared" ca="1" si="13"/>
        <v>1</v>
      </c>
      <c r="S15" s="95">
        <f t="shared" ca="1" si="13"/>
        <v>0.90554484543735358</v>
      </c>
      <c r="T15" s="95">
        <f t="shared" ca="1" si="13"/>
        <v>0.87176997276220736</v>
      </c>
      <c r="U15" s="95">
        <f t="shared" ca="1" si="13"/>
        <v>0.83634566135869526</v>
      </c>
      <c r="V15" s="95">
        <f t="shared" ca="1" si="13"/>
        <v>0.79982961119828866</v>
      </c>
      <c r="W15" s="95">
        <f t="shared" ca="1" si="13"/>
        <v>0.81414824852262746</v>
      </c>
      <c r="X15" s="95">
        <f t="shared" ca="1" si="13"/>
        <v>0.77915353766971984</v>
      </c>
      <c r="Y15" s="95">
        <f t="shared" ca="1" si="13"/>
        <v>0.79762262841408749</v>
      </c>
      <c r="Z15" s="95">
        <f t="shared" ca="1" si="13"/>
        <v>0.81552893390225467</v>
      </c>
      <c r="AA15" s="95">
        <f t="shared" ca="1" si="13"/>
        <v>0.78414271474094577</v>
      </c>
      <c r="AB15" s="95">
        <f t="shared" ca="1" si="13"/>
        <v>0.80518041461346757</v>
      </c>
      <c r="AC15" s="95">
        <f t="shared" ca="1" si="13"/>
        <v>0.77531895134425277</v>
      </c>
      <c r="AD15" s="95">
        <f t="shared" ca="1" si="13"/>
        <v>0.79887126109360662</v>
      </c>
      <c r="AE15" s="95">
        <f t="shared" ca="1" si="13"/>
        <v>0.82098178385658127</v>
      </c>
      <c r="AF15" s="95">
        <f t="shared" ca="1" si="13"/>
        <v>0.79435676369348973</v>
      </c>
      <c r="AG15" s="95">
        <f t="shared" ca="1" si="13"/>
        <v>0.81830386212772366</v>
      </c>
      <c r="AH15" s="95">
        <f t="shared" ca="1" si="13"/>
        <v>0.79304034485576635</v>
      </c>
      <c r="AI15" s="95">
        <f t="shared" ca="1" si="13"/>
        <v>0.81837538044407832</v>
      </c>
      <c r="AJ15" s="95">
        <f t="shared" ca="1" si="13"/>
        <v>0.79443554237390113</v>
      </c>
      <c r="AK15" s="95">
        <f t="shared" ca="1" si="13"/>
        <v>0.82076724712780347</v>
      </c>
      <c r="AL15" s="95">
        <f t="shared" ca="1" si="13"/>
        <v>0.79810771699132343</v>
      </c>
      <c r="AM15" s="95">
        <f t="shared" ca="1" si="13"/>
        <v>0.82509817883158076</v>
      </c>
      <c r="AN15" s="95">
        <f t="shared" ca="1" si="13"/>
        <v>0.80367457651932495</v>
      </c>
      <c r="AO15" s="95">
        <f t="shared" ca="1" si="13"/>
        <v>0.78203317970304365</v>
      </c>
      <c r="AP15" s="95">
        <f t="shared" ca="1" si="13"/>
        <v>0.81201638835394663</v>
      </c>
      <c r="AQ15" s="95">
        <f t="shared" ca="1" si="13"/>
        <v>0.79157459476236447</v>
      </c>
      <c r="AR15" s="95">
        <f t="shared" ca="1" si="13"/>
        <v>0.82138802447787207</v>
      </c>
      <c r="AS15" s="95">
        <f t="shared" ca="1" si="13"/>
        <v>0.80210292230541591</v>
      </c>
      <c r="AT15" s="95">
        <f t="shared" ca="1" si="13"/>
        <v>0.78264808697275889</v>
      </c>
      <c r="AU15" s="95">
        <f t="shared" ca="1" si="13"/>
        <v>0.81448775416583519</v>
      </c>
      <c r="AV15" s="95">
        <f t="shared" ca="1" si="13"/>
        <v>0.79614290323841064</v>
      </c>
      <c r="AW15" s="95">
        <f t="shared" ca="1" si="13"/>
        <v>0.8272216211467196</v>
      </c>
      <c r="AX15" s="95">
        <f t="shared" ca="1" si="13"/>
        <v>0.80995321384483776</v>
      </c>
      <c r="AY15" s="95">
        <f t="shared" ca="1" si="13"/>
        <v>0.79252700061940173</v>
      </c>
      <c r="AZ15" s="95">
        <f t="shared" ca="1" si="13"/>
        <v>0.82488782381180381</v>
      </c>
      <c r="BA15" s="95">
        <f t="shared" ca="1" si="13"/>
        <v>0.80849554423421377</v>
      </c>
      <c r="BB15" s="95">
        <f t="shared" ca="1" si="13"/>
        <v>0.79196531450057783</v>
      </c>
      <c r="BC15" s="95">
        <f t="shared" ca="1" si="13"/>
        <v>0.8251908353862446</v>
      </c>
      <c r="BD15" s="95">
        <f t="shared" ca="1" si="13"/>
        <v>0.80965428166059861</v>
      </c>
      <c r="BE15" s="95">
        <f t="shared" ca="1" si="13"/>
        <v>0.79399136583897389</v>
      </c>
      <c r="BF15" s="95">
        <f t="shared" ca="1" si="13"/>
        <v>0.82772116597655676</v>
      </c>
      <c r="BG15" s="95">
        <f t="shared" ca="1" si="13"/>
        <v>0.81301540088404323</v>
      </c>
      <c r="BH15" s="95">
        <f t="shared" ca="1" si="13"/>
        <v>0.79818941179848713</v>
      </c>
      <c r="BI15" s="95">
        <f t="shared" ca="1" si="13"/>
        <v>0.83211420232774036</v>
      </c>
      <c r="BJ15" s="95">
        <f t="shared" ca="1" si="13"/>
        <v>0.81821284620078871</v>
      </c>
      <c r="BK15" s="95">
        <f t="shared" ca="1" si="13"/>
        <v>0.80419387640554418</v>
      </c>
      <c r="BL15" s="95"/>
      <c r="BM15" s="95"/>
      <c r="BN15" s="95"/>
      <c r="BO15" s="95"/>
      <c r="BP15" s="95"/>
      <c r="BQ15" s="95"/>
      <c r="BR15" s="95"/>
      <c r="BS15" s="95"/>
      <c r="BT15" s="95"/>
      <c r="BU15" s="95"/>
      <c r="BV15" s="95"/>
      <c r="BW15" s="95"/>
      <c r="BX15" s="95"/>
      <c r="BY15" s="95"/>
      <c r="BZ15" s="95"/>
      <c r="CA15" s="95"/>
      <c r="CB15" s="95"/>
      <c r="CC15" s="95"/>
      <c r="CD15" s="95"/>
      <c r="CE15" s="95"/>
      <c r="CF15" s="95"/>
      <c r="CG15" s="95"/>
      <c r="CH15" s="95"/>
      <c r="CI15" s="95"/>
      <c r="CJ15" s="95"/>
      <c r="CK15" s="95"/>
      <c r="CL15" s="95"/>
      <c r="CM15" s="95"/>
      <c r="CN15" s="95"/>
      <c r="CO15" s="95"/>
      <c r="CP15" s="95"/>
    </row>
    <row r="16" spans="1:94" s="90" customFormat="1" x14ac:dyDescent="0.35">
      <c r="A16" s="191" t="s">
        <v>145</v>
      </c>
      <c r="B16" s="191"/>
      <c r="C16" s="192"/>
      <c r="D16" s="93"/>
      <c r="E16" s="96">
        <f t="shared" ref="E16:G16" si="14">F16</f>
        <v>0.5</v>
      </c>
      <c r="F16" s="96">
        <f t="shared" si="14"/>
        <v>0.5</v>
      </c>
      <c r="G16" s="96">
        <f t="shared" si="14"/>
        <v>0.5</v>
      </c>
      <c r="H16" s="96">
        <f>I16</f>
        <v>0.5</v>
      </c>
      <c r="I16" s="95">
        <f>LOOKUP(C2,SI,'Input Tables'!B99:B102)</f>
        <v>0.5</v>
      </c>
      <c r="J16" s="95">
        <f>I16</f>
        <v>0.5</v>
      </c>
      <c r="K16" s="95">
        <f t="shared" ref="K16:BK16" si="15">J16</f>
        <v>0.5</v>
      </c>
      <c r="L16" s="95">
        <f t="shared" si="15"/>
        <v>0.5</v>
      </c>
      <c r="M16" s="95">
        <f t="shared" si="15"/>
        <v>0.5</v>
      </c>
      <c r="N16" s="95">
        <f t="shared" si="15"/>
        <v>0.5</v>
      </c>
      <c r="O16" s="95">
        <f t="shared" si="15"/>
        <v>0.5</v>
      </c>
      <c r="P16" s="95">
        <f t="shared" si="15"/>
        <v>0.5</v>
      </c>
      <c r="Q16" s="95">
        <f t="shared" si="15"/>
        <v>0.5</v>
      </c>
      <c r="R16" s="95">
        <f t="shared" si="15"/>
        <v>0.5</v>
      </c>
      <c r="S16" s="95">
        <f t="shared" si="15"/>
        <v>0.5</v>
      </c>
      <c r="T16" s="95">
        <f t="shared" si="15"/>
        <v>0.5</v>
      </c>
      <c r="U16" s="95">
        <f t="shared" si="15"/>
        <v>0.5</v>
      </c>
      <c r="V16" s="95">
        <f t="shared" si="15"/>
        <v>0.5</v>
      </c>
      <c r="W16" s="95">
        <f t="shared" si="15"/>
        <v>0.5</v>
      </c>
      <c r="X16" s="95">
        <f t="shared" si="15"/>
        <v>0.5</v>
      </c>
      <c r="Y16" s="95">
        <f t="shared" si="15"/>
        <v>0.5</v>
      </c>
      <c r="Z16" s="95">
        <f t="shared" si="15"/>
        <v>0.5</v>
      </c>
      <c r="AA16" s="95">
        <f t="shared" si="15"/>
        <v>0.5</v>
      </c>
      <c r="AB16" s="95">
        <f t="shared" si="15"/>
        <v>0.5</v>
      </c>
      <c r="AC16" s="95">
        <f t="shared" si="15"/>
        <v>0.5</v>
      </c>
      <c r="AD16" s="95">
        <f t="shared" si="15"/>
        <v>0.5</v>
      </c>
      <c r="AE16" s="95">
        <f t="shared" si="15"/>
        <v>0.5</v>
      </c>
      <c r="AF16" s="95">
        <f t="shared" si="15"/>
        <v>0.5</v>
      </c>
      <c r="AG16" s="95">
        <f t="shared" si="15"/>
        <v>0.5</v>
      </c>
      <c r="AH16" s="95">
        <f t="shared" si="15"/>
        <v>0.5</v>
      </c>
      <c r="AI16" s="95">
        <f t="shared" si="15"/>
        <v>0.5</v>
      </c>
      <c r="AJ16" s="95">
        <f t="shared" si="15"/>
        <v>0.5</v>
      </c>
      <c r="AK16" s="95">
        <f t="shared" si="15"/>
        <v>0.5</v>
      </c>
      <c r="AL16" s="95">
        <f t="shared" si="15"/>
        <v>0.5</v>
      </c>
      <c r="AM16" s="95">
        <f t="shared" si="15"/>
        <v>0.5</v>
      </c>
      <c r="AN16" s="95">
        <f t="shared" si="15"/>
        <v>0.5</v>
      </c>
      <c r="AO16" s="95">
        <f t="shared" si="15"/>
        <v>0.5</v>
      </c>
      <c r="AP16" s="95">
        <f t="shared" si="15"/>
        <v>0.5</v>
      </c>
      <c r="AQ16" s="95">
        <f t="shared" si="15"/>
        <v>0.5</v>
      </c>
      <c r="AR16" s="95">
        <f t="shared" si="15"/>
        <v>0.5</v>
      </c>
      <c r="AS16" s="95">
        <f t="shared" si="15"/>
        <v>0.5</v>
      </c>
      <c r="AT16" s="95">
        <f t="shared" si="15"/>
        <v>0.5</v>
      </c>
      <c r="AU16" s="95">
        <f t="shared" si="15"/>
        <v>0.5</v>
      </c>
      <c r="AV16" s="95">
        <f t="shared" si="15"/>
        <v>0.5</v>
      </c>
      <c r="AW16" s="95">
        <f t="shared" si="15"/>
        <v>0.5</v>
      </c>
      <c r="AX16" s="95">
        <f t="shared" si="15"/>
        <v>0.5</v>
      </c>
      <c r="AY16" s="95">
        <f t="shared" si="15"/>
        <v>0.5</v>
      </c>
      <c r="AZ16" s="95">
        <f t="shared" si="15"/>
        <v>0.5</v>
      </c>
      <c r="BA16" s="95">
        <f t="shared" si="15"/>
        <v>0.5</v>
      </c>
      <c r="BB16" s="95">
        <f t="shared" si="15"/>
        <v>0.5</v>
      </c>
      <c r="BC16" s="95">
        <f t="shared" si="15"/>
        <v>0.5</v>
      </c>
      <c r="BD16" s="95">
        <f t="shared" si="15"/>
        <v>0.5</v>
      </c>
      <c r="BE16" s="95">
        <f t="shared" si="15"/>
        <v>0.5</v>
      </c>
      <c r="BF16" s="95">
        <f t="shared" si="15"/>
        <v>0.5</v>
      </c>
      <c r="BG16" s="95">
        <f t="shared" si="15"/>
        <v>0.5</v>
      </c>
      <c r="BH16" s="95">
        <f t="shared" si="15"/>
        <v>0.5</v>
      </c>
      <c r="BI16" s="95">
        <f t="shared" si="15"/>
        <v>0.5</v>
      </c>
      <c r="BJ16" s="95">
        <f t="shared" si="15"/>
        <v>0.5</v>
      </c>
      <c r="BK16" s="95">
        <f t="shared" si="15"/>
        <v>0.5</v>
      </c>
      <c r="BL16" s="95"/>
      <c r="BM16" s="95"/>
      <c r="BN16" s="95"/>
      <c r="BO16" s="95"/>
      <c r="BP16" s="95"/>
      <c r="BQ16" s="95"/>
      <c r="BR16" s="95"/>
      <c r="BS16" s="95"/>
      <c r="BT16" s="95"/>
      <c r="BU16" s="95"/>
      <c r="BV16" s="95"/>
      <c r="BW16" s="95"/>
      <c r="BX16" s="95"/>
      <c r="BY16" s="95"/>
      <c r="BZ16" s="95"/>
      <c r="CA16" s="95"/>
      <c r="CB16" s="95"/>
      <c r="CC16" s="95"/>
      <c r="CD16" s="95"/>
      <c r="CE16" s="95"/>
      <c r="CF16" s="95"/>
      <c r="CG16" s="95"/>
      <c r="CH16" s="95"/>
      <c r="CI16" s="95"/>
      <c r="CJ16" s="95"/>
      <c r="CK16" s="95"/>
      <c r="CL16" s="95"/>
      <c r="CM16" s="95"/>
      <c r="CN16" s="95"/>
      <c r="CO16" s="95"/>
      <c r="CP16" s="95"/>
    </row>
    <row r="17" spans="1:63" ht="30" customHeight="1" x14ac:dyDescent="0.35">
      <c r="A17" s="188" t="s">
        <v>147</v>
      </c>
      <c r="C17" s="99" t="s">
        <v>148</v>
      </c>
    </row>
    <row r="18" spans="1:63" x14ac:dyDescent="0.35">
      <c r="A18" s="188"/>
      <c r="B18" t="s">
        <v>150</v>
      </c>
      <c r="C18" s="98">
        <f>'Management Input'!Q8</f>
        <v>3</v>
      </c>
      <c r="D18" s="30">
        <f ca="1">IF(D12&lt;0,0,(D12*$C$18))</f>
        <v>0</v>
      </c>
      <c r="E18" s="30">
        <f t="shared" ref="E18:BK18" ca="1" si="16">IF(E12&lt;0,0,(E12*$C$18))</f>
        <v>0</v>
      </c>
      <c r="F18" s="30">
        <f t="shared" ca="1" si="16"/>
        <v>15.448679999999992</v>
      </c>
      <c r="G18" s="30">
        <f t="shared" ca="1" si="16"/>
        <v>42.920243999999983</v>
      </c>
      <c r="H18" s="30">
        <f t="shared" ca="1" si="16"/>
        <v>55.556279999999987</v>
      </c>
      <c r="I18" s="30">
        <f t="shared" ca="1" si="16"/>
        <v>85.554359999999974</v>
      </c>
      <c r="J18" s="30">
        <f t="shared" ca="1" si="16"/>
        <v>114.15231599999998</v>
      </c>
      <c r="K18" s="30">
        <f t="shared" ca="1" si="16"/>
        <v>123.81857999999998</v>
      </c>
      <c r="L18" s="30">
        <f t="shared" ca="1" si="16"/>
        <v>119.55509999999995</v>
      </c>
      <c r="M18" s="30">
        <f t="shared" ca="1" si="16"/>
        <v>146.42411999999996</v>
      </c>
      <c r="N18" s="30">
        <f t="shared" ca="1" si="16"/>
        <v>190.72954799999997</v>
      </c>
      <c r="O18" s="30">
        <f t="shared" ca="1" si="16"/>
        <v>166.62578399999998</v>
      </c>
      <c r="P18" s="30">
        <f t="shared" ca="1" si="16"/>
        <v>229.57799999999992</v>
      </c>
      <c r="Q18" s="30">
        <f t="shared" ca="1" si="16"/>
        <v>207.84438</v>
      </c>
      <c r="R18" s="30">
        <f t="shared" ca="1" si="16"/>
        <v>214.54337999999996</v>
      </c>
      <c r="S18" s="30">
        <f t="shared" ca="1" si="16"/>
        <v>230.77193999999997</v>
      </c>
      <c r="T18" s="30">
        <f t="shared" ca="1" si="16"/>
        <v>243.88120799999996</v>
      </c>
      <c r="U18" s="30">
        <f t="shared" ca="1" si="16"/>
        <v>224.02823999999993</v>
      </c>
      <c r="V18" s="30">
        <f t="shared" ca="1" si="16"/>
        <v>228.82409999999999</v>
      </c>
      <c r="W18" s="30">
        <f t="shared" ca="1" si="16"/>
        <v>235.93949999999995</v>
      </c>
      <c r="X18" s="30">
        <f t="shared" ca="1" si="16"/>
        <v>245.68094399999995</v>
      </c>
      <c r="Y18" s="30">
        <f t="shared" ca="1" si="16"/>
        <v>248.37209999999996</v>
      </c>
      <c r="Z18" s="30">
        <f t="shared" ca="1" si="16"/>
        <v>274.03109999999992</v>
      </c>
      <c r="AA18" s="30">
        <f t="shared" ca="1" si="16"/>
        <v>265.44579599999997</v>
      </c>
      <c r="AB18" s="30">
        <f t="shared" ca="1" si="16"/>
        <v>262.84949999999998</v>
      </c>
      <c r="AC18" s="30">
        <f t="shared" ca="1" si="16"/>
        <v>273.75994799999989</v>
      </c>
      <c r="AD18" s="30">
        <f t="shared" ca="1" si="16"/>
        <v>273.57172799999995</v>
      </c>
      <c r="AE18" s="30">
        <f t="shared" ca="1" si="16"/>
        <v>298.30451999999991</v>
      </c>
      <c r="AF18" s="30">
        <f t="shared" ca="1" si="16"/>
        <v>286.28402399999993</v>
      </c>
      <c r="AG18" s="30">
        <f t="shared" ca="1" si="16"/>
        <v>292.08354000000003</v>
      </c>
      <c r="AH18" s="30">
        <f t="shared" ca="1" si="16"/>
        <v>293.80131599999993</v>
      </c>
      <c r="AI18" s="30">
        <f t="shared" ca="1" si="16"/>
        <v>295.13041199999992</v>
      </c>
      <c r="AJ18" s="30">
        <f t="shared" ca="1" si="16"/>
        <v>288.59753999999998</v>
      </c>
      <c r="AK18" s="30">
        <f t="shared" ca="1" si="16"/>
        <v>304.22530799999993</v>
      </c>
      <c r="AL18" s="30">
        <f t="shared" ca="1" si="16"/>
        <v>293.25347999999997</v>
      </c>
      <c r="AM18" s="30">
        <f t="shared" ca="1" si="16"/>
        <v>300.77471999999989</v>
      </c>
      <c r="AN18" s="30">
        <f t="shared" ca="1" si="16"/>
        <v>289.229556</v>
      </c>
      <c r="AO18" s="30">
        <f t="shared" ca="1" si="16"/>
        <v>284.96808000000004</v>
      </c>
      <c r="AP18" s="30">
        <f t="shared" ca="1" si="16"/>
        <v>295.46221199999997</v>
      </c>
      <c r="AQ18" s="30">
        <f t="shared" ca="1" si="16"/>
        <v>279.58949999999993</v>
      </c>
      <c r="AR18" s="30">
        <f t="shared" ca="1" si="16"/>
        <v>289.6423919999998</v>
      </c>
      <c r="AS18" s="30">
        <f t="shared" ca="1" si="16"/>
        <v>277.2620999999998</v>
      </c>
      <c r="AT18" s="30">
        <f t="shared" ca="1" si="16"/>
        <v>275.89049999999997</v>
      </c>
      <c r="AU18" s="30">
        <f t="shared" ca="1" si="16"/>
        <v>296.36182799999989</v>
      </c>
      <c r="AV18" s="30">
        <f t="shared" ca="1" si="16"/>
        <v>276.47735999999998</v>
      </c>
      <c r="AW18" s="30">
        <f t="shared" ca="1" si="16"/>
        <v>292.899564</v>
      </c>
      <c r="AX18" s="30">
        <f t="shared" ca="1" si="16"/>
        <v>269.52209999999997</v>
      </c>
      <c r="AY18" s="30">
        <f t="shared" ca="1" si="16"/>
        <v>271.38839999999993</v>
      </c>
      <c r="AZ18" s="30">
        <f t="shared" ca="1" si="16"/>
        <v>269.65924799999993</v>
      </c>
      <c r="BA18" s="30">
        <f t="shared" ca="1" si="16"/>
        <v>267.95015999999998</v>
      </c>
      <c r="BB18" s="30">
        <f t="shared" ca="1" si="16"/>
        <v>269.78674799999999</v>
      </c>
      <c r="BC18" s="30">
        <f t="shared" ca="1" si="16"/>
        <v>271.64498399999974</v>
      </c>
      <c r="BD18" s="30">
        <f t="shared" ca="1" si="16"/>
        <v>263.16215999999991</v>
      </c>
      <c r="BE18" s="30">
        <f t="shared" ca="1" si="16"/>
        <v>272.08453200000002</v>
      </c>
      <c r="BF18" s="30">
        <f t="shared" ca="1" si="16"/>
        <v>274.18079999999986</v>
      </c>
      <c r="BG18" s="30">
        <f t="shared" ca="1" si="16"/>
        <v>272.99232000000001</v>
      </c>
      <c r="BH18" s="30">
        <f t="shared" ca="1" si="16"/>
        <v>254.9871</v>
      </c>
      <c r="BI18" s="30">
        <f t="shared" ca="1" si="16"/>
        <v>274.57541999999989</v>
      </c>
      <c r="BJ18" s="30">
        <f t="shared" ca="1" si="16"/>
        <v>257.08276799999999</v>
      </c>
      <c r="BK18" s="30">
        <f t="shared" ca="1" si="16"/>
        <v>260.15682000000004</v>
      </c>
    </row>
    <row r="19" spans="1:63" x14ac:dyDescent="0.35">
      <c r="A19" s="188"/>
    </row>
    <row r="20" spans="1:63" x14ac:dyDescent="0.35">
      <c r="A20" s="188"/>
      <c r="B20" t="s">
        <v>151</v>
      </c>
      <c r="D20" s="36">
        <f t="shared" ref="D20:AI20" ca="1" si="17">D18*D6</f>
        <v>0</v>
      </c>
      <c r="E20" s="36">
        <f t="shared" ca="1" si="17"/>
        <v>0</v>
      </c>
      <c r="F20" s="36">
        <f t="shared" ca="1" si="17"/>
        <v>747.71611199999961</v>
      </c>
      <c r="G20" s="36">
        <f t="shared" ca="1" si="17"/>
        <v>2077.3398095999992</v>
      </c>
      <c r="H20" s="36">
        <f t="shared" ca="1" si="17"/>
        <v>2577.8113919999992</v>
      </c>
      <c r="I20" s="36">
        <f t="shared" ca="1" si="17"/>
        <v>3713.0592239999987</v>
      </c>
      <c r="J20" s="36">
        <f t="shared" ca="1" si="17"/>
        <v>4840.0581983999991</v>
      </c>
      <c r="K20" s="36">
        <f t="shared" ca="1" si="17"/>
        <v>5126.089211999999</v>
      </c>
      <c r="L20" s="36">
        <f t="shared" ca="1" si="17"/>
        <v>4590.9158399999978</v>
      </c>
      <c r="M20" s="36">
        <f t="shared" ca="1" si="17"/>
        <v>5183.4138479999983</v>
      </c>
      <c r="N20" s="36">
        <f t="shared" ca="1" si="17"/>
        <v>6751.8259991999985</v>
      </c>
      <c r="O20" s="36">
        <f t="shared" ca="1" si="17"/>
        <v>5898.5527535999991</v>
      </c>
      <c r="P20" s="36">
        <f t="shared" ca="1" si="17"/>
        <v>8127.0611999999965</v>
      </c>
      <c r="Q20" s="36">
        <f t="shared" ca="1" si="17"/>
        <v>7357.6910520000001</v>
      </c>
      <c r="R20" s="36">
        <f t="shared" ca="1" si="17"/>
        <v>7594.8356519999979</v>
      </c>
      <c r="S20" s="36">
        <f t="shared" ca="1" si="17"/>
        <v>8169.3266759999988</v>
      </c>
      <c r="T20" s="36">
        <f t="shared" ca="1" si="17"/>
        <v>8633.3947631999981</v>
      </c>
      <c r="U20" s="36">
        <f t="shared" ca="1" si="17"/>
        <v>7930.5996959999975</v>
      </c>
      <c r="V20" s="36">
        <f t="shared" ca="1" si="17"/>
        <v>7290.3358259999995</v>
      </c>
      <c r="W20" s="36">
        <f t="shared" ca="1" si="17"/>
        <v>7517.0324699999983</v>
      </c>
      <c r="X20" s="36">
        <f t="shared" ca="1" si="17"/>
        <v>7044.6553882559983</v>
      </c>
      <c r="Y20" s="36">
        <f t="shared" ca="1" si="17"/>
        <v>6409.6394358599991</v>
      </c>
      <c r="Z20" s="36">
        <f t="shared" ca="1" si="17"/>
        <v>7071.8109852599982</v>
      </c>
      <c r="AA20" s="36">
        <f t="shared" ca="1" si="17"/>
        <v>6165.2281311482393</v>
      </c>
      <c r="AB20" s="36">
        <f t="shared" ca="1" si="17"/>
        <v>6104.9267160299996</v>
      </c>
      <c r="AC20" s="36">
        <f t="shared" ca="1" si="17"/>
        <v>5722.4989139860063</v>
      </c>
      <c r="AD20" s="36">
        <f t="shared" ca="1" si="17"/>
        <v>5146.7080375816986</v>
      </c>
      <c r="AE20" s="36">
        <f t="shared" ca="1" si="17"/>
        <v>5612.0063354315262</v>
      </c>
      <c r="AF20" s="36">
        <f t="shared" ca="1" si="17"/>
        <v>4847.2781464348845</v>
      </c>
      <c r="AG20" s="36">
        <f t="shared" ca="1" si="17"/>
        <v>4945.4738709951207</v>
      </c>
      <c r="AH20" s="36">
        <f t="shared" ca="1" si="17"/>
        <v>4477.1028808668307</v>
      </c>
      <c r="AI20" s="36">
        <f t="shared" ca="1" si="17"/>
        <v>4497.3563624085828</v>
      </c>
      <c r="AJ20" s="36">
        <f t="shared" ref="AJ20:BK20" ca="1" si="18">AJ18*AJ6</f>
        <v>3958.0244425132955</v>
      </c>
      <c r="AK20" s="36">
        <f t="shared" ca="1" si="18"/>
        <v>4172.3543627403596</v>
      </c>
      <c r="AL20" s="36">
        <f t="shared" ca="1" si="18"/>
        <v>3619.6912749944977</v>
      </c>
      <c r="AM20" s="36">
        <f t="shared" ca="1" si="18"/>
        <v>3712.5275707654441</v>
      </c>
      <c r="AN20" s="36">
        <f t="shared" ca="1" si="18"/>
        <v>3570.0231087581042</v>
      </c>
      <c r="AO20" s="36">
        <f t="shared" ca="1" si="18"/>
        <v>3165.6805080203681</v>
      </c>
      <c r="AP20" s="36">
        <f t="shared" ca="1" si="18"/>
        <v>3282.2587195905639</v>
      </c>
      <c r="AQ20" s="36">
        <f t="shared" ca="1" si="18"/>
        <v>2795.3373843043905</v>
      </c>
      <c r="AR20" s="36">
        <f t="shared" ca="1" si="18"/>
        <v>2895.8462547304048</v>
      </c>
      <c r="AS20" s="36">
        <f t="shared" ca="1" si="18"/>
        <v>2772.0680260909012</v>
      </c>
      <c r="AT20" s="36">
        <f t="shared" ca="1" si="18"/>
        <v>2482.5192854595311</v>
      </c>
      <c r="AU20" s="36">
        <f t="shared" ca="1" si="18"/>
        <v>2666.7244920866801</v>
      </c>
      <c r="AV20" s="36">
        <f t="shared" ca="1" si="18"/>
        <v>2239.0199748582995</v>
      </c>
      <c r="AW20" s="36">
        <f t="shared" ca="1" si="18"/>
        <v>2372.0132976649043</v>
      </c>
      <c r="AX20" s="36">
        <f t="shared" ca="1" si="18"/>
        <v>2182.6936048787361</v>
      </c>
      <c r="AY20" s="36">
        <f t="shared" ca="1" si="18"/>
        <v>1978.0268579327819</v>
      </c>
      <c r="AZ20" s="36">
        <f t="shared" ca="1" si="18"/>
        <v>1965.4238539081141</v>
      </c>
      <c r="BA20" s="36">
        <f t="shared" ca="1" si="18"/>
        <v>1952.9670872719184</v>
      </c>
      <c r="BB20" s="36">
        <f t="shared" ca="1" si="18"/>
        <v>1769.7178291795415</v>
      </c>
      <c r="BC20" s="36">
        <f t="shared" ca="1" si="18"/>
        <v>1781.9072840152653</v>
      </c>
      <c r="BD20" s="36">
        <f t="shared" ca="1" si="18"/>
        <v>1726.2625757933781</v>
      </c>
      <c r="BE20" s="36">
        <f t="shared" ca="1" si="18"/>
        <v>1606.3115249527909</v>
      </c>
      <c r="BF20" s="36">
        <f t="shared" ca="1" si="18"/>
        <v>1618.6873091366176</v>
      </c>
      <c r="BG20" s="36">
        <f t="shared" ca="1" si="18"/>
        <v>1611.6708532317459</v>
      </c>
      <c r="BH20" s="36">
        <f t="shared" ca="1" si="18"/>
        <v>1354.8357306098562</v>
      </c>
      <c r="BI20" s="36">
        <f t="shared" ca="1" si="18"/>
        <v>1458.9153324352801</v>
      </c>
      <c r="BJ20" s="36">
        <f t="shared" ca="1" si="18"/>
        <v>1365.9707483652473</v>
      </c>
      <c r="BK20" s="36">
        <f t="shared" ca="1" si="18"/>
        <v>1382.3042628346177</v>
      </c>
    </row>
    <row r="21" spans="1:63" x14ac:dyDescent="0.35">
      <c r="A21" s="188"/>
    </row>
    <row r="22" spans="1:63" x14ac:dyDescent="0.35">
      <c r="A22" s="188"/>
      <c r="B22" t="s">
        <v>152</v>
      </c>
      <c r="D22" s="30">
        <f t="shared" ref="D22:AI22" ca="1" si="19">IF(D58=0,0,D20)</f>
        <v>0</v>
      </c>
      <c r="E22" s="30">
        <f t="shared" ca="1" si="19"/>
        <v>0</v>
      </c>
      <c r="F22" s="30">
        <f t="shared" ca="1" si="19"/>
        <v>0</v>
      </c>
      <c r="G22" s="30">
        <f t="shared" ca="1" si="19"/>
        <v>2077.3398095999992</v>
      </c>
      <c r="H22" s="30">
        <f t="shared" ca="1" si="19"/>
        <v>2577.8113919999992</v>
      </c>
      <c r="I22" s="30">
        <f t="shared" ca="1" si="19"/>
        <v>3713.0592239999987</v>
      </c>
      <c r="J22" s="30">
        <f t="shared" ca="1" si="19"/>
        <v>4840.0581983999991</v>
      </c>
      <c r="K22" s="30">
        <f t="shared" ca="1" si="19"/>
        <v>5126.089211999999</v>
      </c>
      <c r="L22" s="30">
        <f t="shared" ca="1" si="19"/>
        <v>4590.9158399999978</v>
      </c>
      <c r="M22" s="30">
        <f t="shared" ca="1" si="19"/>
        <v>5183.4138479999983</v>
      </c>
      <c r="N22" s="30">
        <f t="shared" ca="1" si="19"/>
        <v>6751.8259991999985</v>
      </c>
      <c r="O22" s="30">
        <f t="shared" ca="1" si="19"/>
        <v>5898.5527535999991</v>
      </c>
      <c r="P22" s="30">
        <f t="shared" ca="1" si="19"/>
        <v>8127.0611999999965</v>
      </c>
      <c r="Q22" s="30">
        <f t="shared" ca="1" si="19"/>
        <v>7357.6910520000001</v>
      </c>
      <c r="R22" s="30">
        <f t="shared" ca="1" si="19"/>
        <v>7594.8356519999979</v>
      </c>
      <c r="S22" s="30">
        <f t="shared" ca="1" si="19"/>
        <v>8169.3266759999988</v>
      </c>
      <c r="T22" s="30">
        <f t="shared" ca="1" si="19"/>
        <v>8633.3947631999981</v>
      </c>
      <c r="U22" s="30">
        <f t="shared" ca="1" si="19"/>
        <v>7930.5996959999975</v>
      </c>
      <c r="V22" s="30">
        <f t="shared" ca="1" si="19"/>
        <v>7290.3358259999995</v>
      </c>
      <c r="W22" s="30">
        <f t="shared" ca="1" si="19"/>
        <v>7517.0324699999983</v>
      </c>
      <c r="X22" s="30">
        <f t="shared" ca="1" si="19"/>
        <v>7044.6553882559983</v>
      </c>
      <c r="Y22" s="30">
        <f t="shared" ca="1" si="19"/>
        <v>6409.6394358599991</v>
      </c>
      <c r="Z22" s="30">
        <f t="shared" ca="1" si="19"/>
        <v>7071.8109852599982</v>
      </c>
      <c r="AA22" s="30">
        <f t="shared" ca="1" si="19"/>
        <v>6165.2281311482393</v>
      </c>
      <c r="AB22" s="30">
        <f t="shared" ca="1" si="19"/>
        <v>6104.9267160299996</v>
      </c>
      <c r="AC22" s="30">
        <f t="shared" ca="1" si="19"/>
        <v>5722.4989139860063</v>
      </c>
      <c r="AD22" s="30">
        <f t="shared" ca="1" si="19"/>
        <v>5146.7080375816986</v>
      </c>
      <c r="AE22" s="30">
        <f t="shared" ca="1" si="19"/>
        <v>5612.0063354315262</v>
      </c>
      <c r="AF22" s="30">
        <f t="shared" ca="1" si="19"/>
        <v>4847.2781464348845</v>
      </c>
      <c r="AG22" s="30">
        <f t="shared" ca="1" si="19"/>
        <v>4945.4738709951207</v>
      </c>
      <c r="AH22" s="30">
        <f t="shared" ca="1" si="19"/>
        <v>4477.1028808668307</v>
      </c>
      <c r="AI22" s="30">
        <f t="shared" ca="1" si="19"/>
        <v>4497.3563624085828</v>
      </c>
      <c r="AJ22" s="30">
        <f t="shared" ref="AJ22:BK22" ca="1" si="20">IF(AJ58=0,0,AJ20)</f>
        <v>3958.0244425132955</v>
      </c>
      <c r="AK22" s="30">
        <f t="shared" ca="1" si="20"/>
        <v>4172.3543627403596</v>
      </c>
      <c r="AL22" s="30">
        <f t="shared" ca="1" si="20"/>
        <v>3619.6912749944977</v>
      </c>
      <c r="AM22" s="30">
        <f t="shared" ca="1" si="20"/>
        <v>3712.5275707654441</v>
      </c>
      <c r="AN22" s="30">
        <f t="shared" ca="1" si="20"/>
        <v>3570.0231087581042</v>
      </c>
      <c r="AO22" s="30">
        <f t="shared" ca="1" si="20"/>
        <v>3165.6805080203681</v>
      </c>
      <c r="AP22" s="30">
        <f t="shared" ca="1" si="20"/>
        <v>3282.2587195905639</v>
      </c>
      <c r="AQ22" s="30">
        <f t="shared" ca="1" si="20"/>
        <v>2795.3373843043905</v>
      </c>
      <c r="AR22" s="30">
        <f t="shared" ca="1" si="20"/>
        <v>2895.8462547304048</v>
      </c>
      <c r="AS22" s="30">
        <f t="shared" ca="1" si="20"/>
        <v>2772.0680260909012</v>
      </c>
      <c r="AT22" s="30">
        <f t="shared" ca="1" si="20"/>
        <v>2482.5192854595311</v>
      </c>
      <c r="AU22" s="30">
        <f t="shared" ca="1" si="20"/>
        <v>2666.7244920866801</v>
      </c>
      <c r="AV22" s="30">
        <f t="shared" ca="1" si="20"/>
        <v>2239.0199748582995</v>
      </c>
      <c r="AW22" s="30">
        <f t="shared" ca="1" si="20"/>
        <v>2372.0132976649043</v>
      </c>
      <c r="AX22" s="30">
        <f t="shared" ca="1" si="20"/>
        <v>2182.6936048787361</v>
      </c>
      <c r="AY22" s="30">
        <f t="shared" ca="1" si="20"/>
        <v>0</v>
      </c>
      <c r="AZ22" s="30">
        <f t="shared" ca="1" si="20"/>
        <v>0</v>
      </c>
      <c r="BA22" s="30">
        <f t="shared" ca="1" si="20"/>
        <v>0</v>
      </c>
      <c r="BB22" s="30">
        <f t="shared" ca="1" si="20"/>
        <v>0</v>
      </c>
      <c r="BC22" s="30">
        <f t="shared" ca="1" si="20"/>
        <v>0</v>
      </c>
      <c r="BD22" s="30">
        <f t="shared" ca="1" si="20"/>
        <v>0</v>
      </c>
      <c r="BE22" s="30">
        <f t="shared" ca="1" si="20"/>
        <v>0</v>
      </c>
      <c r="BF22" s="30">
        <f t="shared" ca="1" si="20"/>
        <v>0</v>
      </c>
      <c r="BG22" s="30">
        <f t="shared" ca="1" si="20"/>
        <v>0</v>
      </c>
      <c r="BH22" s="30">
        <f t="shared" ca="1" si="20"/>
        <v>0</v>
      </c>
      <c r="BI22" s="30">
        <f t="shared" ca="1" si="20"/>
        <v>0</v>
      </c>
      <c r="BJ22" s="30">
        <f t="shared" ca="1" si="20"/>
        <v>0</v>
      </c>
      <c r="BK22" s="30">
        <f t="shared" ca="1" si="20"/>
        <v>0</v>
      </c>
    </row>
    <row r="23" spans="1:63" x14ac:dyDescent="0.35">
      <c r="A23" s="188"/>
    </row>
    <row r="24" spans="1:63" s="79" customFormat="1" x14ac:dyDescent="0.35">
      <c r="C24" s="82"/>
    </row>
    <row r="25" spans="1:63" ht="15" customHeight="1" x14ac:dyDescent="0.35">
      <c r="A25" s="188" t="s">
        <v>155</v>
      </c>
    </row>
    <row r="26" spans="1:63" x14ac:dyDescent="0.35">
      <c r="A26" s="188"/>
      <c r="B26" t="s">
        <v>13</v>
      </c>
      <c r="D26" s="36">
        <f>'Cost Budgets'!F2</f>
        <v>120</v>
      </c>
    </row>
    <row r="27" spans="1:63" x14ac:dyDescent="0.35">
      <c r="A27" s="188"/>
      <c r="E27" s="189" t="s">
        <v>154</v>
      </c>
      <c r="F27" s="189"/>
      <c r="G27" s="189"/>
    </row>
    <row r="28" spans="1:63" x14ac:dyDescent="0.35">
      <c r="A28" s="188"/>
      <c r="B28" t="s">
        <v>153</v>
      </c>
      <c r="D28" s="36">
        <f>'Cost Budgets'!F5</f>
        <v>653.4</v>
      </c>
      <c r="E28" s="36">
        <f ca="1">D8*'Cost Budgets'!$G$5</f>
        <v>0</v>
      </c>
      <c r="F28" s="36">
        <f ca="1">E8*'Cost Budgets'!$G$5</f>
        <v>40.5</v>
      </c>
      <c r="G28" s="36">
        <f ca="1">F8*'Cost Budgets'!$G$5</f>
        <v>0</v>
      </c>
    </row>
    <row r="29" spans="1:63" x14ac:dyDescent="0.35">
      <c r="A29" s="188"/>
    </row>
    <row r="30" spans="1:63" x14ac:dyDescent="0.35">
      <c r="A30" s="188"/>
      <c r="B30" t="s">
        <v>165</v>
      </c>
    </row>
    <row r="31" spans="1:63" x14ac:dyDescent="0.35">
      <c r="A31" s="188"/>
    </row>
    <row r="32" spans="1:63" x14ac:dyDescent="0.35">
      <c r="A32" s="188"/>
      <c r="B32" t="s">
        <v>156</v>
      </c>
      <c r="D32" s="36">
        <f>'Cost Budgets'!F6</f>
        <v>49.368000000000002</v>
      </c>
    </row>
    <row r="33" spans="1:63" x14ac:dyDescent="0.35">
      <c r="A33" s="188"/>
    </row>
    <row r="34" spans="1:63" x14ac:dyDescent="0.35">
      <c r="A34" s="188"/>
      <c r="B34" t="s">
        <v>219</v>
      </c>
      <c r="D34" s="30">
        <f>IF('Management Input'!E18="Drip Irrigation", 'Input Tables'!B106,IF('Management Input'!E18="Hand water", 'Input Tables'!E107, IF('Management Input'!E18="Sprinkler",'Input Tables'!E108,IF('Management Input'!E18="User Defined", 'Input Tables'!B110,0))))</f>
        <v>445.5</v>
      </c>
      <c r="E34" s="30">
        <f>IF(D34&lt;'Input Tables'!$B$106,D34,0)</f>
        <v>0</v>
      </c>
      <c r="F34" s="30">
        <f>IF(E34&lt;'Input Tables'!$B$106,E34,0)</f>
        <v>0</v>
      </c>
      <c r="G34" s="30">
        <f>IF(F34&lt;'Input Tables'!$B$106,F34,0)</f>
        <v>0</v>
      </c>
      <c r="H34" s="30">
        <f>IF(G34&lt;'Input Tables'!$B$106,G34,0)</f>
        <v>0</v>
      </c>
      <c r="I34" s="30">
        <f>IF(H34&lt;'Input Tables'!$B$106,H34,0)</f>
        <v>0</v>
      </c>
      <c r="J34" s="30">
        <f>IF(I34&lt;'Input Tables'!$B$106,I34,0)</f>
        <v>0</v>
      </c>
      <c r="K34" s="30">
        <f>IF(J34&lt;'Input Tables'!$B$106,J34,0)</f>
        <v>0</v>
      </c>
      <c r="L34" s="30">
        <f>IF(K34&lt;'Input Tables'!$B$106,K34,0)</f>
        <v>0</v>
      </c>
      <c r="M34" s="30">
        <f>IF(L34&lt;'Input Tables'!$B$106,L34,0)</f>
        <v>0</v>
      </c>
      <c r="N34" s="30">
        <f>IF(M34&lt;'Input Tables'!$B$106,M34,0)</f>
        <v>0</v>
      </c>
      <c r="O34" s="30">
        <f>IF(N34&lt;'Input Tables'!$B$106,N34,0)</f>
        <v>0</v>
      </c>
      <c r="P34" s="30">
        <f>IF(O34&lt;'Input Tables'!$B$106,O34,0)</f>
        <v>0</v>
      </c>
      <c r="Q34" s="30">
        <f>IF(P34&lt;'Input Tables'!$B$106,P34,0)</f>
        <v>0</v>
      </c>
      <c r="R34" s="30">
        <f>IF(Q34&lt;'Input Tables'!$B$106,Q34,0)</f>
        <v>0</v>
      </c>
      <c r="S34" s="30">
        <f>IF(R34&lt;'Input Tables'!$B$106,R34,0)</f>
        <v>0</v>
      </c>
      <c r="T34" s="30">
        <f>IF(S34&lt;'Input Tables'!$B$106,S34,0)</f>
        <v>0</v>
      </c>
      <c r="U34" s="30">
        <f>IF(T34&lt;'Input Tables'!$B$106,T34,0)</f>
        <v>0</v>
      </c>
      <c r="V34" s="30">
        <f>IF(U34&lt;'Input Tables'!$B$106,U34,0)</f>
        <v>0</v>
      </c>
      <c r="W34" s="30">
        <f>IF(V34&lt;'Input Tables'!$B$106,V34,0)</f>
        <v>0</v>
      </c>
      <c r="X34" s="30">
        <f>IF(W34&lt;'Input Tables'!$B$106,W34,0)</f>
        <v>0</v>
      </c>
      <c r="Y34" s="30">
        <f>IF(X34&lt;'Input Tables'!$B$106,X34,0)</f>
        <v>0</v>
      </c>
      <c r="Z34" s="30">
        <f>IF(Y34&lt;'Input Tables'!$B$106,Y34,0)</f>
        <v>0</v>
      </c>
      <c r="AA34" s="30">
        <f>IF(Z34&lt;'Input Tables'!$B$106,Z34,0)</f>
        <v>0</v>
      </c>
      <c r="AB34" s="30">
        <f>IF(AA34&lt;'Input Tables'!$B$106,AA34,0)</f>
        <v>0</v>
      </c>
      <c r="AC34" s="30">
        <f>IF(AB34&lt;'Input Tables'!$B$106,AB34,0)</f>
        <v>0</v>
      </c>
      <c r="AD34" s="30">
        <f>IF(AC34&lt;'Input Tables'!$B$106,AC34,0)</f>
        <v>0</v>
      </c>
      <c r="AE34" s="30">
        <f>IF(AD34&lt;'Input Tables'!$B$106,AD34,0)</f>
        <v>0</v>
      </c>
      <c r="AF34" s="30">
        <f>IF(AE34&lt;'Input Tables'!$B$106,AE34,0)</f>
        <v>0</v>
      </c>
      <c r="AG34" s="30">
        <f>IF(AF34&lt;'Input Tables'!$B$106,AF34,0)</f>
        <v>0</v>
      </c>
      <c r="AH34" s="30">
        <f>IF(AG34&lt;'Input Tables'!$B$106,AG34,0)</f>
        <v>0</v>
      </c>
      <c r="AI34" s="30">
        <f>IF(AH34&lt;'Input Tables'!$B$106,AH34,0)</f>
        <v>0</v>
      </c>
      <c r="AJ34" s="30">
        <f>IF(AI34&lt;'Input Tables'!$B$106,AI34,0)</f>
        <v>0</v>
      </c>
      <c r="AK34" s="30">
        <f>IF(AJ34&lt;'Input Tables'!$B$106,AJ34,0)</f>
        <v>0</v>
      </c>
      <c r="AL34" s="30">
        <f>IF(AK34&lt;'Input Tables'!$B$106,AK34,0)</f>
        <v>0</v>
      </c>
      <c r="AM34" s="30">
        <f>IF(AL34&lt;'Input Tables'!$B$106,AL34,0)</f>
        <v>0</v>
      </c>
      <c r="AN34" s="30">
        <f>IF(AM34&lt;'Input Tables'!$B$106,AM34,0)</f>
        <v>0</v>
      </c>
      <c r="AO34" s="30">
        <f>IF(AN34&lt;'Input Tables'!$B$106,AN34,0)</f>
        <v>0</v>
      </c>
      <c r="AP34" s="30">
        <f>IF(AO34&lt;'Input Tables'!$B$106,AO34,0)</f>
        <v>0</v>
      </c>
      <c r="AQ34" s="30">
        <f>IF(AP34&lt;'Input Tables'!$B$106,AP34,0)</f>
        <v>0</v>
      </c>
      <c r="AR34" s="30">
        <f>IF(AQ34&lt;'Input Tables'!$B$106,AQ34,0)</f>
        <v>0</v>
      </c>
      <c r="AS34" s="30">
        <f>IF(AR34&lt;'Input Tables'!$B$106,AR34,0)</f>
        <v>0</v>
      </c>
      <c r="AT34" s="30">
        <f>IF(AS34&lt;'Input Tables'!$B$106,AS34,0)</f>
        <v>0</v>
      </c>
      <c r="AU34" s="30">
        <f>IF(AT34&lt;'Input Tables'!$B$106,AT34,0)</f>
        <v>0</v>
      </c>
      <c r="AV34" s="30">
        <f>IF(AU34&lt;'Input Tables'!$B$106,AU34,0)</f>
        <v>0</v>
      </c>
      <c r="AW34" s="30">
        <f>IF(AV34&lt;'Input Tables'!$B$106,AV34,0)</f>
        <v>0</v>
      </c>
      <c r="AX34" s="30">
        <f>IF(AW34&lt;'Input Tables'!$B$106,AW34,0)</f>
        <v>0</v>
      </c>
      <c r="AY34" s="30">
        <f>IF(AX34&lt;'Input Tables'!$B$106,AX34,0)</f>
        <v>0</v>
      </c>
      <c r="AZ34" s="30">
        <f>IF(AY34&lt;'Input Tables'!$B$106,AY34,0)</f>
        <v>0</v>
      </c>
      <c r="BA34" s="30">
        <f>IF(AZ34&lt;'Input Tables'!$B$106,AZ34,0)</f>
        <v>0</v>
      </c>
      <c r="BB34" s="30">
        <f>IF(BA34&lt;'Input Tables'!$B$106,BA34,0)</f>
        <v>0</v>
      </c>
      <c r="BC34" s="30">
        <f>IF(BB34&lt;'Input Tables'!$B$106,BB34,0)</f>
        <v>0</v>
      </c>
      <c r="BD34" s="30">
        <f>IF(BC34&lt;'Input Tables'!$B$106,BC34,0)</f>
        <v>0</v>
      </c>
      <c r="BE34" s="30">
        <f>IF(BD34&lt;'Input Tables'!$B$106,BD34,0)</f>
        <v>0</v>
      </c>
      <c r="BF34" s="30">
        <f>IF(BE34&lt;'Input Tables'!$B$106,BE34,0)</f>
        <v>0</v>
      </c>
      <c r="BG34" s="30">
        <f>IF(BF34&lt;'Input Tables'!$B$106,BF34,0)</f>
        <v>0</v>
      </c>
      <c r="BH34" s="30">
        <f>IF(BG34&lt;'Input Tables'!$B$106,BG34,0)</f>
        <v>0</v>
      </c>
      <c r="BI34" s="30">
        <f>IF(BH34&lt;'Input Tables'!$B$106,BH34,0)</f>
        <v>0</v>
      </c>
      <c r="BJ34" s="30">
        <f>IF(BI34&lt;'Input Tables'!$B$106,BI34,0)</f>
        <v>0</v>
      </c>
      <c r="BK34" s="30">
        <f>IF(BJ34&lt;'Input Tables'!$B$106,BJ34,0)</f>
        <v>0</v>
      </c>
    </row>
    <row r="35" spans="1:63" x14ac:dyDescent="0.35">
      <c r="A35" s="188"/>
    </row>
    <row r="36" spans="1:63" x14ac:dyDescent="0.35">
      <c r="A36" s="188"/>
      <c r="B36" t="s">
        <v>29</v>
      </c>
      <c r="D36" s="36">
        <f>'Cost Budgets'!F7</f>
        <v>96.8</v>
      </c>
    </row>
    <row r="37" spans="1:63" x14ac:dyDescent="0.35">
      <c r="A37" s="110"/>
      <c r="B37" t="s">
        <v>175</v>
      </c>
      <c r="D37" s="36">
        <f ca="1">D20-D26-D28-D30-D32-D34-D36</f>
        <v>-1365.068</v>
      </c>
      <c r="E37" s="36">
        <f t="shared" ref="E37:BK37" ca="1" si="21">E20-E26-E28-E30-E32-E36</f>
        <v>0</v>
      </c>
      <c r="F37" s="36">
        <f t="shared" ca="1" si="21"/>
        <v>707.21611199999961</v>
      </c>
      <c r="G37" s="36">
        <f t="shared" ca="1" si="21"/>
        <v>2077.3398095999992</v>
      </c>
      <c r="H37" s="36">
        <f t="shared" ca="1" si="21"/>
        <v>2577.8113919999992</v>
      </c>
      <c r="I37" s="36">
        <f t="shared" ca="1" si="21"/>
        <v>3713.0592239999987</v>
      </c>
      <c r="J37" s="36">
        <f t="shared" ca="1" si="21"/>
        <v>4840.0581983999991</v>
      </c>
      <c r="K37" s="36">
        <f t="shared" ca="1" si="21"/>
        <v>5126.089211999999</v>
      </c>
      <c r="L37" s="36">
        <f t="shared" ca="1" si="21"/>
        <v>4590.9158399999978</v>
      </c>
      <c r="M37" s="36">
        <f t="shared" ca="1" si="21"/>
        <v>5183.4138479999983</v>
      </c>
      <c r="N37" s="36">
        <f t="shared" ca="1" si="21"/>
        <v>6751.8259991999985</v>
      </c>
      <c r="O37" s="36">
        <f t="shared" ca="1" si="21"/>
        <v>5898.5527535999991</v>
      </c>
      <c r="P37" s="36">
        <f t="shared" ca="1" si="21"/>
        <v>8127.0611999999965</v>
      </c>
      <c r="Q37" s="36">
        <f t="shared" ca="1" si="21"/>
        <v>7357.6910520000001</v>
      </c>
      <c r="R37" s="36">
        <f t="shared" ca="1" si="21"/>
        <v>7594.8356519999979</v>
      </c>
      <c r="S37" s="36">
        <f t="shared" ca="1" si="21"/>
        <v>8169.3266759999988</v>
      </c>
      <c r="T37" s="36">
        <f t="shared" ca="1" si="21"/>
        <v>8633.3947631999981</v>
      </c>
      <c r="U37" s="36">
        <f t="shared" ca="1" si="21"/>
        <v>7930.5996959999975</v>
      </c>
      <c r="V37" s="36">
        <f t="shared" ca="1" si="21"/>
        <v>7290.3358259999995</v>
      </c>
      <c r="W37" s="36">
        <f t="shared" ca="1" si="21"/>
        <v>7517.0324699999983</v>
      </c>
      <c r="X37" s="36">
        <f t="shared" ca="1" si="21"/>
        <v>7044.6553882559983</v>
      </c>
      <c r="Y37" s="36">
        <f t="shared" ca="1" si="21"/>
        <v>6409.6394358599991</v>
      </c>
      <c r="Z37" s="36">
        <f t="shared" ca="1" si="21"/>
        <v>7071.8109852599982</v>
      </c>
      <c r="AA37" s="36">
        <f t="shared" ca="1" si="21"/>
        <v>6165.2281311482393</v>
      </c>
      <c r="AB37" s="36">
        <f t="shared" ca="1" si="21"/>
        <v>6104.9267160299996</v>
      </c>
      <c r="AC37" s="36">
        <f t="shared" ca="1" si="21"/>
        <v>5722.4989139860063</v>
      </c>
      <c r="AD37" s="36">
        <f t="shared" ca="1" si="21"/>
        <v>5146.7080375816986</v>
      </c>
      <c r="AE37" s="36">
        <f t="shared" ca="1" si="21"/>
        <v>5612.0063354315262</v>
      </c>
      <c r="AF37" s="36">
        <f t="shared" ca="1" si="21"/>
        <v>4847.2781464348845</v>
      </c>
      <c r="AG37" s="36">
        <f t="shared" ca="1" si="21"/>
        <v>4945.4738709951207</v>
      </c>
      <c r="AH37" s="36">
        <f t="shared" ca="1" si="21"/>
        <v>4477.1028808668307</v>
      </c>
      <c r="AI37" s="36">
        <f t="shared" ca="1" si="21"/>
        <v>4497.3563624085828</v>
      </c>
      <c r="AJ37" s="36">
        <f t="shared" ca="1" si="21"/>
        <v>3958.0244425132955</v>
      </c>
      <c r="AK37" s="36">
        <f t="shared" ca="1" si="21"/>
        <v>4172.3543627403596</v>
      </c>
      <c r="AL37" s="36">
        <f t="shared" ca="1" si="21"/>
        <v>3619.6912749944977</v>
      </c>
      <c r="AM37" s="36">
        <f t="shared" ca="1" si="21"/>
        <v>3712.5275707654441</v>
      </c>
      <c r="AN37" s="36">
        <f t="shared" ca="1" si="21"/>
        <v>3570.0231087581042</v>
      </c>
      <c r="AO37" s="36">
        <f t="shared" ca="1" si="21"/>
        <v>3165.6805080203681</v>
      </c>
      <c r="AP37" s="36">
        <f t="shared" ca="1" si="21"/>
        <v>3282.2587195905639</v>
      </c>
      <c r="AQ37" s="36">
        <f t="shared" ca="1" si="21"/>
        <v>2795.3373843043905</v>
      </c>
      <c r="AR37" s="36">
        <f t="shared" ca="1" si="21"/>
        <v>2895.8462547304048</v>
      </c>
      <c r="AS37" s="36">
        <f t="shared" ca="1" si="21"/>
        <v>2772.0680260909012</v>
      </c>
      <c r="AT37" s="36">
        <f t="shared" ca="1" si="21"/>
        <v>2482.5192854595311</v>
      </c>
      <c r="AU37" s="36">
        <f t="shared" ca="1" si="21"/>
        <v>2666.7244920866801</v>
      </c>
      <c r="AV37" s="36">
        <f t="shared" ca="1" si="21"/>
        <v>2239.0199748582995</v>
      </c>
      <c r="AW37" s="36">
        <f t="shared" ca="1" si="21"/>
        <v>2372.0132976649043</v>
      </c>
      <c r="AX37" s="36">
        <f t="shared" ca="1" si="21"/>
        <v>2182.6936048787361</v>
      </c>
      <c r="AY37" s="36">
        <f t="shared" ca="1" si="21"/>
        <v>1978.0268579327819</v>
      </c>
      <c r="AZ37" s="36">
        <f t="shared" ca="1" si="21"/>
        <v>1965.4238539081141</v>
      </c>
      <c r="BA37" s="36">
        <f t="shared" ca="1" si="21"/>
        <v>1952.9670872719184</v>
      </c>
      <c r="BB37" s="36">
        <f t="shared" ca="1" si="21"/>
        <v>1769.7178291795415</v>
      </c>
      <c r="BC37" s="36">
        <f t="shared" ca="1" si="21"/>
        <v>1781.9072840152653</v>
      </c>
      <c r="BD37" s="36">
        <f t="shared" ca="1" si="21"/>
        <v>1726.2625757933781</v>
      </c>
      <c r="BE37" s="36">
        <f t="shared" ca="1" si="21"/>
        <v>1606.3115249527909</v>
      </c>
      <c r="BF37" s="36">
        <f t="shared" ca="1" si="21"/>
        <v>1618.6873091366176</v>
      </c>
      <c r="BG37" s="36">
        <f t="shared" ca="1" si="21"/>
        <v>1611.6708532317459</v>
      </c>
      <c r="BH37" s="36">
        <f t="shared" ca="1" si="21"/>
        <v>1354.8357306098562</v>
      </c>
      <c r="BI37" s="36">
        <f t="shared" ca="1" si="21"/>
        <v>1458.9153324352801</v>
      </c>
      <c r="BJ37" s="36">
        <f t="shared" ca="1" si="21"/>
        <v>1365.9707483652473</v>
      </c>
      <c r="BK37" s="36">
        <f t="shared" ca="1" si="21"/>
        <v>1382.3042628346177</v>
      </c>
    </row>
    <row r="38" spans="1:63" x14ac:dyDescent="0.35">
      <c r="A38" s="110"/>
      <c r="B38" t="s">
        <v>174</v>
      </c>
      <c r="D38" s="36">
        <f ca="1">D22-D26-D28-D30-D32-D36</f>
        <v>-919.56799999999998</v>
      </c>
      <c r="E38" s="36">
        <f t="shared" ref="E38:G38" ca="1" si="22">E22-E26-E28-E30-E32-E36</f>
        <v>0</v>
      </c>
      <c r="F38" s="36">
        <f t="shared" ca="1" si="22"/>
        <v>-40.5</v>
      </c>
      <c r="G38" s="36">
        <f t="shared" ca="1" si="22"/>
        <v>2077.3398095999992</v>
      </c>
      <c r="H38" s="36">
        <f t="shared" ref="H38:BK38" ca="1" si="23">H22-H26-H28-H30-H32-H36</f>
        <v>2577.8113919999992</v>
      </c>
      <c r="I38" s="36">
        <f t="shared" ca="1" si="23"/>
        <v>3713.0592239999987</v>
      </c>
      <c r="J38" s="36">
        <f t="shared" ca="1" si="23"/>
        <v>4840.0581983999991</v>
      </c>
      <c r="K38" s="36">
        <f t="shared" ca="1" si="23"/>
        <v>5126.089211999999</v>
      </c>
      <c r="L38" s="36">
        <f t="shared" ca="1" si="23"/>
        <v>4590.9158399999978</v>
      </c>
      <c r="M38" s="36">
        <f t="shared" ca="1" si="23"/>
        <v>5183.4138479999983</v>
      </c>
      <c r="N38" s="36">
        <f t="shared" ca="1" si="23"/>
        <v>6751.8259991999985</v>
      </c>
      <c r="O38" s="36">
        <f t="shared" ca="1" si="23"/>
        <v>5898.5527535999991</v>
      </c>
      <c r="P38" s="36">
        <f t="shared" ca="1" si="23"/>
        <v>8127.0611999999965</v>
      </c>
      <c r="Q38" s="36">
        <f t="shared" ca="1" si="23"/>
        <v>7357.6910520000001</v>
      </c>
      <c r="R38" s="36">
        <f t="shared" ca="1" si="23"/>
        <v>7594.8356519999979</v>
      </c>
      <c r="S38" s="36">
        <f t="shared" ca="1" si="23"/>
        <v>8169.3266759999988</v>
      </c>
      <c r="T38" s="36">
        <f t="shared" ca="1" si="23"/>
        <v>8633.3947631999981</v>
      </c>
      <c r="U38" s="36">
        <f t="shared" ca="1" si="23"/>
        <v>7930.5996959999975</v>
      </c>
      <c r="V38" s="36">
        <f t="shared" ca="1" si="23"/>
        <v>7290.3358259999995</v>
      </c>
      <c r="W38" s="36">
        <f t="shared" ca="1" si="23"/>
        <v>7517.0324699999983</v>
      </c>
      <c r="X38" s="36">
        <f t="shared" ca="1" si="23"/>
        <v>7044.6553882559983</v>
      </c>
      <c r="Y38" s="36">
        <f t="shared" ca="1" si="23"/>
        <v>6409.6394358599991</v>
      </c>
      <c r="Z38" s="36">
        <f t="shared" ca="1" si="23"/>
        <v>7071.8109852599982</v>
      </c>
      <c r="AA38" s="36">
        <f t="shared" ca="1" si="23"/>
        <v>6165.2281311482393</v>
      </c>
      <c r="AB38" s="36">
        <f t="shared" ca="1" si="23"/>
        <v>6104.9267160299996</v>
      </c>
      <c r="AC38" s="36">
        <f t="shared" ca="1" si="23"/>
        <v>5722.4989139860063</v>
      </c>
      <c r="AD38" s="36">
        <f t="shared" ca="1" si="23"/>
        <v>5146.7080375816986</v>
      </c>
      <c r="AE38" s="36">
        <f t="shared" ca="1" si="23"/>
        <v>5612.0063354315262</v>
      </c>
      <c r="AF38" s="36">
        <f t="shared" ca="1" si="23"/>
        <v>4847.2781464348845</v>
      </c>
      <c r="AG38" s="36">
        <f t="shared" ca="1" si="23"/>
        <v>4945.4738709951207</v>
      </c>
      <c r="AH38" s="36">
        <f t="shared" ca="1" si="23"/>
        <v>4477.1028808668307</v>
      </c>
      <c r="AI38" s="36">
        <f t="shared" ca="1" si="23"/>
        <v>4497.3563624085828</v>
      </c>
      <c r="AJ38" s="36">
        <f t="shared" ca="1" si="23"/>
        <v>3958.0244425132955</v>
      </c>
      <c r="AK38" s="36">
        <f t="shared" ca="1" si="23"/>
        <v>4172.3543627403596</v>
      </c>
      <c r="AL38" s="36">
        <f t="shared" ca="1" si="23"/>
        <v>3619.6912749944977</v>
      </c>
      <c r="AM38" s="36">
        <f t="shared" ca="1" si="23"/>
        <v>3712.5275707654441</v>
      </c>
      <c r="AN38" s="36">
        <f t="shared" ca="1" si="23"/>
        <v>3570.0231087581042</v>
      </c>
      <c r="AO38" s="36">
        <f t="shared" ca="1" si="23"/>
        <v>3165.6805080203681</v>
      </c>
      <c r="AP38" s="36">
        <f t="shared" ca="1" si="23"/>
        <v>3282.2587195905639</v>
      </c>
      <c r="AQ38" s="36">
        <f t="shared" ca="1" si="23"/>
        <v>2795.3373843043905</v>
      </c>
      <c r="AR38" s="36">
        <f t="shared" ca="1" si="23"/>
        <v>2895.8462547304048</v>
      </c>
      <c r="AS38" s="36">
        <f t="shared" ca="1" si="23"/>
        <v>2772.0680260909012</v>
      </c>
      <c r="AT38" s="36">
        <f t="shared" ca="1" si="23"/>
        <v>2482.5192854595311</v>
      </c>
      <c r="AU38" s="36">
        <f t="shared" ca="1" si="23"/>
        <v>2666.7244920866801</v>
      </c>
      <c r="AV38" s="36">
        <f t="shared" ca="1" si="23"/>
        <v>2239.0199748582995</v>
      </c>
      <c r="AW38" s="36">
        <f t="shared" ca="1" si="23"/>
        <v>2372.0132976649043</v>
      </c>
      <c r="AX38" s="36">
        <f t="shared" ca="1" si="23"/>
        <v>2182.6936048787361</v>
      </c>
      <c r="AY38" s="36">
        <f t="shared" ca="1" si="23"/>
        <v>0</v>
      </c>
      <c r="AZ38" s="36">
        <f t="shared" ca="1" si="23"/>
        <v>0</v>
      </c>
      <c r="BA38" s="36">
        <f t="shared" ca="1" si="23"/>
        <v>0</v>
      </c>
      <c r="BB38" s="36">
        <f t="shared" ca="1" si="23"/>
        <v>0</v>
      </c>
      <c r="BC38" s="36">
        <f t="shared" ca="1" si="23"/>
        <v>0</v>
      </c>
      <c r="BD38" s="36">
        <f t="shared" ca="1" si="23"/>
        <v>0</v>
      </c>
      <c r="BE38" s="36">
        <f t="shared" ca="1" si="23"/>
        <v>0</v>
      </c>
      <c r="BF38" s="36">
        <f t="shared" ca="1" si="23"/>
        <v>0</v>
      </c>
      <c r="BG38" s="36">
        <f t="shared" ca="1" si="23"/>
        <v>0</v>
      </c>
      <c r="BH38" s="36">
        <f t="shared" ca="1" si="23"/>
        <v>0</v>
      </c>
      <c r="BI38" s="36">
        <f t="shared" ca="1" si="23"/>
        <v>0</v>
      </c>
      <c r="BJ38" s="36">
        <f t="shared" ca="1" si="23"/>
        <v>0</v>
      </c>
      <c r="BK38" s="36">
        <f t="shared" ca="1" si="23"/>
        <v>0</v>
      </c>
    </row>
    <row r="39" spans="1:63" x14ac:dyDescent="0.35">
      <c r="A39" s="188" t="s">
        <v>167</v>
      </c>
    </row>
    <row r="40" spans="1:63" x14ac:dyDescent="0.35">
      <c r="A40" s="188"/>
      <c r="B40" t="s">
        <v>24</v>
      </c>
      <c r="D40" s="36">
        <f>'Input Tables'!$C$25*D10*D2</f>
        <v>0</v>
      </c>
      <c r="E40" s="36">
        <f>'Input Tables'!$C$25*E10*E2</f>
        <v>0</v>
      </c>
      <c r="F40" s="36">
        <f>'Input Tables'!$C$25*F10*F2</f>
        <v>0</v>
      </c>
      <c r="G40" s="36">
        <f>'Input Tables'!$C$25*G10*G2</f>
        <v>0</v>
      </c>
      <c r="H40" s="36">
        <f>'Input Tables'!$C$25*H10*H2</f>
        <v>0</v>
      </c>
      <c r="I40" s="36">
        <f ca="1">'Input Tables'!$C$25*I10*I2</f>
        <v>0</v>
      </c>
      <c r="J40" s="36">
        <f ca="1">'Input Tables'!$C$25*J10*J2</f>
        <v>0</v>
      </c>
      <c r="K40" s="36">
        <f ca="1">'Input Tables'!$C$25*K10*K2</f>
        <v>0</v>
      </c>
      <c r="L40" s="36">
        <f ca="1">'Input Tables'!$C$25*L10*L2</f>
        <v>0</v>
      </c>
      <c r="M40" s="36">
        <f ca="1">'Input Tables'!$C$25*M10*M2</f>
        <v>0</v>
      </c>
      <c r="N40" s="36">
        <f ca="1">'Input Tables'!$C$25*N10*N2</f>
        <v>0</v>
      </c>
      <c r="O40" s="36">
        <f ca="1">'Input Tables'!$C$25*O10*O2</f>
        <v>0</v>
      </c>
      <c r="P40" s="36">
        <f ca="1">'Input Tables'!$C$25*P10*P2</f>
        <v>0</v>
      </c>
      <c r="Q40" s="36">
        <f ca="1">'Input Tables'!$C$25*Q10*Q2</f>
        <v>0</v>
      </c>
      <c r="R40" s="36">
        <f ca="1">'Input Tables'!$C$25*R10*R2</f>
        <v>0</v>
      </c>
      <c r="S40" s="36">
        <f ca="1">'Input Tables'!$C$25*S10*S2</f>
        <v>0</v>
      </c>
      <c r="T40" s="36">
        <f ca="1">'Input Tables'!$C$25*T10*T2</f>
        <v>0</v>
      </c>
      <c r="U40" s="36">
        <f ca="1">'Input Tables'!$C$25*U10*U2</f>
        <v>0</v>
      </c>
      <c r="V40" s="36">
        <f ca="1">'Input Tables'!$C$25*V10*V2</f>
        <v>1.383739520050361</v>
      </c>
      <c r="W40" s="36">
        <f ca="1">'Input Tables'!$C$25*W10*W2</f>
        <v>0</v>
      </c>
      <c r="X40" s="36">
        <f ca="1">'Input Tables'!$C$25*X10*X2</f>
        <v>1.3533503707278125</v>
      </c>
      <c r="Y40" s="36">
        <f ca="1">'Input Tables'!$C$25*Y10*Y2</f>
        <v>1.2649323755872286</v>
      </c>
      <c r="Z40" s="36">
        <f ca="1">'Input Tables'!$C$25*Z10*Z2</f>
        <v>0</v>
      </c>
      <c r="AA40" s="36">
        <f ca="1">'Input Tables'!$C$25*AA10*AA2</f>
        <v>1.2258620479554589</v>
      </c>
      <c r="AB40" s="36">
        <f ca="1">'Input Tables'!$C$25*AB10*AB2</f>
        <v>0</v>
      </c>
      <c r="AC40" s="36">
        <f ca="1">'Input Tables'!$C$25*AC10*AC2</f>
        <v>1.1807942428102085</v>
      </c>
      <c r="AD40" s="36">
        <f ca="1">'Input Tables'!$C$25*AD10*AD2</f>
        <v>1.0967490151598305</v>
      </c>
      <c r="AE40" s="36">
        <f ca="1">'Input Tables'!$C$25*AE10*AE2</f>
        <v>0</v>
      </c>
      <c r="AF40" s="36">
        <f ca="1">'Input Tables'!$C$25*AF10*AF2</f>
        <v>1.0510701726258898</v>
      </c>
      <c r="AG40" s="36">
        <f ca="1">'Input Tables'!$C$25*AG10*AG2</f>
        <v>0</v>
      </c>
      <c r="AH40" s="36">
        <f ca="1">'Input Tables'!$C$25*AH10*AH2</f>
        <v>1.0033038705379425</v>
      </c>
      <c r="AI40" s="36">
        <f ca="1">'Input Tables'!$C$25*AI10*AI2</f>
        <v>0</v>
      </c>
      <c r="AJ40" s="36">
        <f ca="1">'Input Tables'!$C$25*AJ10*AJ2</f>
        <v>0.9545402891639071</v>
      </c>
      <c r="AK40" s="36">
        <f ca="1">'Input Tables'!$C$25*AK10*AK2</f>
        <v>0</v>
      </c>
      <c r="AL40" s="36">
        <f ca="1">'Input Tables'!$C$25*AL10*AL2</f>
        <v>0.90560545598623687</v>
      </c>
      <c r="AM40" s="36">
        <f ca="1">'Input Tables'!$C$25*AM10*AM2</f>
        <v>0</v>
      </c>
      <c r="AN40" s="36">
        <f ca="1">'Input Tables'!$C$25*AN10*AN2</f>
        <v>0</v>
      </c>
      <c r="AO40" s="36">
        <f ca="1">'Input Tables'!$C$25*AO10*AO2</f>
        <v>0.87795148510073362</v>
      </c>
      <c r="AP40" s="36">
        <f ca="1">'Input Tables'!$C$25*AP10*AP2</f>
        <v>0</v>
      </c>
      <c r="AQ40" s="36">
        <f ca="1">'Input Tables'!$C$25*AQ10*AQ2</f>
        <v>0.8273434084110346</v>
      </c>
      <c r="AR40" s="36">
        <f ca="1">'Input Tables'!$C$25*AR10*AR2</f>
        <v>0</v>
      </c>
      <c r="AS40" s="36">
        <f ca="1">'Input Tables'!$C$25*AS10*AS2</f>
        <v>0</v>
      </c>
      <c r="AT40" s="36">
        <f ca="1">'Input Tables'!$C$25*AT10*AT2</f>
        <v>0.79531532902480906</v>
      </c>
      <c r="AU40" s="36">
        <f ca="1">'Input Tables'!$C$25*AU10*AU2</f>
        <v>0</v>
      </c>
      <c r="AV40" s="36">
        <f ca="1">'Input Tables'!$C$25*AV10*AV2</f>
        <v>0.74596364322457653</v>
      </c>
      <c r="AW40" s="36">
        <f ca="1">'Input Tables'!$C$25*AW10*AW2</f>
        <v>0</v>
      </c>
      <c r="AX40" s="36">
        <f ca="1">'Input Tables'!$C$25*AX10*AX2</f>
        <v>0</v>
      </c>
      <c r="AY40" s="36">
        <f ca="1">'Input Tables'!$C$25*AY10*AY2</f>
        <v>0.71274975862579404</v>
      </c>
      <c r="AZ40" s="36">
        <f ca="1">'Input Tables'!$C$25*AZ10*AZ2</f>
        <v>0</v>
      </c>
      <c r="BA40" s="36">
        <f ca="1">'Input Tables'!$C$25*BA10*BA2</f>
        <v>0</v>
      </c>
      <c r="BB40" s="36">
        <f ca="1">'Input Tables'!$C$25*BB10*BB2</f>
        <v>0.67860563771033622</v>
      </c>
      <c r="BC40" s="36">
        <f ca="1">'Input Tables'!$C$25*BC10*BC2</f>
        <v>0</v>
      </c>
      <c r="BD40" s="36">
        <f ca="1">'Input Tables'!$C$25*BD10*BD2</f>
        <v>0</v>
      </c>
      <c r="BE40" s="36">
        <f ca="1">'Input Tables'!$C$25*BE10*BE2</f>
        <v>0.64417524207480936</v>
      </c>
      <c r="BF40" s="36">
        <f ca="1">'Input Tables'!$C$25*BF10*BF2</f>
        <v>0</v>
      </c>
      <c r="BG40" s="36">
        <f ca="1">'Input Tables'!$C$25*BG10*BG2</f>
        <v>0</v>
      </c>
      <c r="BH40" s="36">
        <f ca="1">'Input Tables'!$C$25*BH10*BH2</f>
        <v>0.60994302891868046</v>
      </c>
      <c r="BI40" s="36">
        <f ca="1">'Input Tables'!$C$25*BI10*BI2</f>
        <v>0</v>
      </c>
      <c r="BJ40" s="36">
        <f ca="1">'Input Tables'!$C$25*BJ10*BJ2</f>
        <v>0</v>
      </c>
      <c r="BK40" s="36">
        <f ca="1">'Input Tables'!$C$25*BK10*BK2</f>
        <v>0</v>
      </c>
    </row>
    <row r="41" spans="1:63" x14ac:dyDescent="0.35">
      <c r="A41" s="188"/>
    </row>
    <row r="42" spans="1:63" x14ac:dyDescent="0.35">
      <c r="A42" s="188"/>
      <c r="B42" t="s">
        <v>41</v>
      </c>
      <c r="E42" s="30">
        <f>IF(OR(E1='Input Tables'!$BA$35,E1='Input Tables'!$BB$35, E1='Input Tables'!$BC$35,E1='Input Tables'!$BD$35, E1='Input Tables'!$BE$35,E1='Input Tables'!$BF$35,E1='Input Tables'!$BG$35,E1='Input Tables'!$BH$35,E1='Input Tables'!$BI$35,E1='Input Tables'!$BJ$35,E1='Input Tables'!BJ35,'Input Tables'!$BL$35),('Cost Budgets'!$G$12*E6),0)</f>
        <v>90</v>
      </c>
      <c r="F42" s="30">
        <f>IF(OR(F1='Input Tables'!$BA$35,F1='Input Tables'!$BB$35, F1='Input Tables'!$BC$35,F1='Input Tables'!$BD$35, F1='Input Tables'!$BE$35,F1='Input Tables'!$BF$35,F1='Input Tables'!$BG$35,F1='Input Tables'!$BH$35,F1='Input Tables'!$BI$35,F1='Input Tables'!$BJ$35,F1='Input Tables'!BK35,'Input Tables'!$BL$35),('Cost Budgets'!$G$12*F6),0)</f>
        <v>90</v>
      </c>
      <c r="G42" s="30">
        <f>IF(OR(G1='Input Tables'!$BA$35,G1='Input Tables'!$BB$35, G1='Input Tables'!$BC$35,G1='Input Tables'!$BD$35, G1='Input Tables'!$BE$35,G1='Input Tables'!$BF$35,G1='Input Tables'!$BG$35,G1='Input Tables'!$BH$35,G1='Input Tables'!$BI$35,G1='Input Tables'!$BJ$35,G1='Input Tables'!BL35,'Input Tables'!$BL$35),('Cost Budgets'!$G$12*G6),0)</f>
        <v>90</v>
      </c>
      <c r="H42" s="30">
        <f ca="1">IF(OR(H1='Input Tables'!$BA$35,H1='Input Tables'!$BB$35, H1='Input Tables'!$BC$35,H1='Input Tables'!$BD$35, H1='Input Tables'!$BE$35,H1='Input Tables'!$BF$35,H1='Input Tables'!$BG$35,H1='Input Tables'!$BH$35,H1='Input Tables'!$BI$35,H1='Input Tables'!$BJ$35,H1='Input Tables'!BM35,'Input Tables'!$BL$35),('Cost Budgets'!$G$12*H6),0)</f>
        <v>86.280991735537185</v>
      </c>
      <c r="I42" s="30">
        <f ca="1">IF(OR(I1='Input Tables'!$BA$35,I1='Input Tables'!$BB$35, I1='Input Tables'!$BC$35,I1='Input Tables'!$BD$35, I1='Input Tables'!$BE$35,I1='Input Tables'!$BF$35,I1='Input Tables'!$BG$35,I1='Input Tables'!$BH$35,I1='Input Tables'!$BI$35,I1='Input Tables'!$BJ$35,I1='Input Tables'!BN35,'Input Tables'!$BL$35),('Cost Budgets'!$G$12*I6),0)</f>
        <v>80.702479338842977</v>
      </c>
      <c r="J42" s="30">
        <f ca="1">IF(OR(J1='Input Tables'!$BA$35,J1='Input Tables'!$BB$35, J1='Input Tables'!$BC$35,J1='Input Tables'!$BD$35, J1='Input Tables'!$BE$35,J1='Input Tables'!$BF$35,J1='Input Tables'!$BG$35,J1='Input Tables'!$BH$35,J1='Input Tables'!$BI$35,J1='Input Tables'!$BJ$35,J1='Input Tables'!BO35,'Input Tables'!$BL$35),('Cost Budgets'!$G$12*J6),0)</f>
        <v>78.84297520661157</v>
      </c>
      <c r="K42" s="30">
        <f ca="1">IF(OR(K1='Input Tables'!$BA$35,K1='Input Tables'!$BB$35, K1='Input Tables'!$BC$35,K1='Input Tables'!$BD$35, K1='Input Tables'!$BE$35,K1='Input Tables'!$BF$35,K1='Input Tables'!$BG$35,K1='Input Tables'!$BH$35,K1='Input Tables'!$BI$35,K1='Input Tables'!$BJ$35,K1='Input Tables'!BP35,'Input Tables'!$BL$35),('Cost Budgets'!$G$12*K6),0)</f>
        <v>76.983471074380162</v>
      </c>
      <c r="L42" s="30">
        <f ca="1">IF(OR(L1='Input Tables'!$BA$35,L1='Input Tables'!$BB$35, L1='Input Tables'!$BC$35,L1='Input Tables'!$BD$35, L1='Input Tables'!$BE$35,L1='Input Tables'!$BF$35,L1='Input Tables'!$BG$35,L1='Input Tables'!$BH$35,L1='Input Tables'!$BI$35,L1='Input Tables'!$BJ$35,L1='Input Tables'!BQ35,'Input Tables'!$BL$35),('Cost Budgets'!$G$12*L6),0)</f>
        <v>71.404958677685954</v>
      </c>
      <c r="M42" s="30">
        <f ca="1">IF(OR(M1='Input Tables'!$BA$35,M1='Input Tables'!$BB$35, M1='Input Tables'!$BC$35,M1='Input Tables'!$BD$35, M1='Input Tables'!$BE$35,M1='Input Tables'!$BF$35,M1='Input Tables'!$BG$35,M1='Input Tables'!$BH$35,M1='Input Tables'!$BI$35,M1='Input Tables'!$BJ$35,M1='Input Tables'!BR35,'Input Tables'!$BL$35),('Cost Budgets'!$G$12*M6),0)</f>
        <v>65.826446280991732</v>
      </c>
      <c r="N42" s="30">
        <f ca="1">IF(OR(N1='Input Tables'!$BA$35,N1='Input Tables'!$BB$35, N1='Input Tables'!$BC$35,N1='Input Tables'!$BD$35, N1='Input Tables'!$BE$35,N1='Input Tables'!$BF$35,N1='Input Tables'!$BG$35,N1='Input Tables'!$BH$35,N1='Input Tables'!$BI$35,N1='Input Tables'!$BJ$35,N1='Input Tables'!BS35,'Input Tables'!$BL$35),('Cost Budgets'!$G$12*N6),0)</f>
        <v>65.826446280991732</v>
      </c>
      <c r="O42" s="30">
        <f ca="1">IF(OR(O1='Input Tables'!$BA$35,O1='Input Tables'!$BB$35, O1='Input Tables'!$BC$35,O1='Input Tables'!$BD$35, O1='Input Tables'!$BE$35,O1='Input Tables'!$BF$35,O1='Input Tables'!$BG$35,O1='Input Tables'!$BH$35,O1='Input Tables'!$BI$35,O1='Input Tables'!$BJ$35,O1='Input Tables'!BT35,'Input Tables'!$BL$35),('Cost Budgets'!$G$12*O6),0)</f>
        <v>65.826446280991732</v>
      </c>
      <c r="P42" s="30">
        <f ca="1">IF(OR(P1='Input Tables'!$BA$35,P1='Input Tables'!$BB$35, P1='Input Tables'!$BC$35,P1='Input Tables'!$BD$35, P1='Input Tables'!$BE$35,P1='Input Tables'!$BF$35,P1='Input Tables'!$BG$35,P1='Input Tables'!$BH$35,P1='Input Tables'!$BI$35,P1='Input Tables'!$BJ$35,P1='Input Tables'!BU35,'Input Tables'!$BL$35),('Cost Budgets'!$G$12*P6),0)</f>
        <v>65.826446280991732</v>
      </c>
      <c r="Q42" s="30">
        <f ca="1">IF(OR(Q1='Input Tables'!$BA$35,Q1='Input Tables'!$BB$35, Q1='Input Tables'!$BC$35,Q1='Input Tables'!$BD$35, Q1='Input Tables'!$BE$35,Q1='Input Tables'!$BF$35,Q1='Input Tables'!$BG$35,Q1='Input Tables'!$BH$35,Q1='Input Tables'!$BI$35,Q1='Input Tables'!$BJ$35,Q1='Input Tables'!BV35,'Input Tables'!$BL$35),('Cost Budgets'!$G$12*Q6),0)</f>
        <v>65.826446280991732</v>
      </c>
      <c r="R42" s="30">
        <f ca="1">IF(OR(R1='Input Tables'!$BA$35,R1='Input Tables'!$BB$35, R1='Input Tables'!$BC$35,R1='Input Tables'!$BD$35, R1='Input Tables'!$BE$35,R1='Input Tables'!$BF$35,R1='Input Tables'!$BG$35,R1='Input Tables'!$BH$35,R1='Input Tables'!$BI$35,R1='Input Tables'!$BJ$35,R1='Input Tables'!BW35,'Input Tables'!$BL$35),('Cost Budgets'!$G$12*R6),0)</f>
        <v>65.826446280991732</v>
      </c>
      <c r="S42" s="30">
        <f ca="1">IF(OR(S1='Input Tables'!$BA$35,S1='Input Tables'!$BB$35, S1='Input Tables'!$BC$35,S1='Input Tables'!$BD$35, S1='Input Tables'!$BE$35,S1='Input Tables'!$BF$35,S1='Input Tables'!$BG$35,S1='Input Tables'!$BH$35,S1='Input Tables'!$BI$35,S1='Input Tables'!$BJ$35,S1='Input Tables'!BX35,'Input Tables'!$BL$35),('Cost Budgets'!$G$12*S6),0)</f>
        <v>65.826446280991732</v>
      </c>
      <c r="T42" s="30">
        <f ca="1">IF(OR(T1='Input Tables'!$BA$35,T1='Input Tables'!$BB$35, T1='Input Tables'!$BC$35,T1='Input Tables'!$BD$35, T1='Input Tables'!$BE$35,T1='Input Tables'!$BF$35,T1='Input Tables'!$BG$35,T1='Input Tables'!$BH$35,T1='Input Tables'!$BI$35,T1='Input Tables'!$BJ$35,T1='Input Tables'!BY35,'Input Tables'!$BL$35),('Cost Budgets'!$G$12*T6),0)</f>
        <v>65.826446280991732</v>
      </c>
      <c r="U42" s="30">
        <f ca="1">IF(OR(U1='Input Tables'!$BA$35,U1='Input Tables'!$BB$35, U1='Input Tables'!$BC$35,U1='Input Tables'!$BD$35, U1='Input Tables'!$BE$35,U1='Input Tables'!$BF$35,U1='Input Tables'!$BG$35,U1='Input Tables'!$BH$35,U1='Input Tables'!$BI$35,U1='Input Tables'!$BJ$35,U1='Input Tables'!BZ35,'Input Tables'!$BL$35),('Cost Budgets'!$G$12*U6),0)</f>
        <v>65.826446280991732</v>
      </c>
      <c r="V42" s="30">
        <f ca="1">IF(OR(V1='Input Tables'!$BA$35,V1='Input Tables'!$BB$35, V1='Input Tables'!$BC$35,V1='Input Tables'!$BD$35, V1='Input Tables'!$BE$35,V1='Input Tables'!$BF$35,V1='Input Tables'!$BG$35,V1='Input Tables'!$BH$35,V1='Input Tables'!$BI$35,V1='Input Tables'!$BJ$35,V1='Input Tables'!CA35,'Input Tables'!$BL$35),('Cost Budgets'!$G$12*V6),0)</f>
        <v>59.243801652892564</v>
      </c>
      <c r="W42" s="30">
        <f ca="1">IF(OR(W1='Input Tables'!$BA$35,W1='Input Tables'!$BB$35, W1='Input Tables'!$BC$35,W1='Input Tables'!$BD$35, W1='Input Tables'!$BE$35,W1='Input Tables'!$BF$35,W1='Input Tables'!$BG$35,W1='Input Tables'!$BH$35,W1='Input Tables'!$BI$35,W1='Input Tables'!$BJ$35,W1='Input Tables'!CB35,'Input Tables'!$BL$35),('Cost Budgets'!$G$12*W6),0)</f>
        <v>59.243801652892564</v>
      </c>
      <c r="X42" s="30">
        <f ca="1">IF(OR(X1='Input Tables'!$BA$35,X1='Input Tables'!$BB$35, X1='Input Tables'!$BC$35,X1='Input Tables'!$BD$35, X1='Input Tables'!$BE$35,X1='Input Tables'!$BF$35,X1='Input Tables'!$BG$35,X1='Input Tables'!$BH$35,X1='Input Tables'!$BI$35,X1='Input Tables'!$BJ$35,X1='Input Tables'!CC35,'Input Tables'!$BL$35),('Cost Budgets'!$G$12*X6),0)</f>
        <v>53.319421487603307</v>
      </c>
      <c r="Y42" s="30">
        <f ca="1">IF(OR(Y1='Input Tables'!$BA$35,Y1='Input Tables'!$BB$35, Y1='Input Tables'!$BC$35,Y1='Input Tables'!$BD$35, Y1='Input Tables'!$BE$35,Y1='Input Tables'!$BF$35,Y1='Input Tables'!$BG$35,Y1='Input Tables'!$BH$35,Y1='Input Tables'!$BI$35,Y1='Input Tables'!$BJ$35,Y1='Input Tables'!CD35,'Input Tables'!$BL$35),('Cost Budgets'!$G$12*Y6),0)</f>
        <v>47.987479338842974</v>
      </c>
      <c r="Z42" s="30">
        <f ca="1">IF(OR(Z1='Input Tables'!$BA$35,Z1='Input Tables'!$BB$35, Z1='Input Tables'!$BC$35,Z1='Input Tables'!$BD$35, Z1='Input Tables'!$BE$35,Z1='Input Tables'!$BF$35,Z1='Input Tables'!$BG$35,Z1='Input Tables'!$BH$35,Z1='Input Tables'!$BI$35,Z1='Input Tables'!$BJ$35,Z1='Input Tables'!CE35,'Input Tables'!$BL$35),('Cost Budgets'!$G$12*Z6),0)</f>
        <v>47.987479338842974</v>
      </c>
      <c r="AA42" s="30">
        <f ca="1">IF(OR(AA1='Input Tables'!$BA$35,AA1='Input Tables'!$BB$35, AA1='Input Tables'!$BC$35,AA1='Input Tables'!$BD$35, AA1='Input Tables'!$BE$35,AA1='Input Tables'!$BF$35,AA1='Input Tables'!$BG$35,AA1='Input Tables'!$BH$35,AA1='Input Tables'!$BI$35,AA1='Input Tables'!$BJ$35,AA1='Input Tables'!CF35,'Input Tables'!$BL$35),('Cost Budgets'!$G$12*AA6),0)</f>
        <v>43.188731404958681</v>
      </c>
      <c r="AB42" s="30">
        <f ca="1">IF(OR(AB1='Input Tables'!$BA$35,AB1='Input Tables'!$BB$35, AB1='Input Tables'!$BC$35,AB1='Input Tables'!$BD$35, AB1='Input Tables'!$BE$35,AB1='Input Tables'!$BF$35,AB1='Input Tables'!$BG$35,AB1='Input Tables'!$BH$35,AB1='Input Tables'!$BI$35,AB1='Input Tables'!$BJ$35,AB1='Input Tables'!CG35,'Input Tables'!$BL$35),('Cost Budgets'!$G$12*AB6),0)</f>
        <v>43.188731404958681</v>
      </c>
      <c r="AC42" s="30">
        <f ca="1">IF(OR(AC1='Input Tables'!$BA$35,AC1='Input Tables'!$BB$35, AC1='Input Tables'!$BC$35,AC1='Input Tables'!$BD$35, AC1='Input Tables'!$BE$35,AC1='Input Tables'!$BF$35,AC1='Input Tables'!$BG$35,AC1='Input Tables'!$BH$35,AC1='Input Tables'!$BI$35,AC1='Input Tables'!$BJ$35,AC1='Input Tables'!CH35,'Input Tables'!$BL$35),('Cost Budgets'!$G$12*AC6),0)</f>
        <v>38.869858264462813</v>
      </c>
      <c r="AD42" s="30">
        <f ca="1">IF(OR(AD1='Input Tables'!$BA$35,AD1='Input Tables'!$BB$35, AD1='Input Tables'!$BC$35,AD1='Input Tables'!$BD$35, AD1='Input Tables'!$BE$35,AD1='Input Tables'!$BF$35,AD1='Input Tables'!$BG$35,AD1='Input Tables'!$BH$35,AD1='Input Tables'!$BI$35,AD1='Input Tables'!$BJ$35,AD1='Input Tables'!CI35,'Input Tables'!$BL$35),('Cost Budgets'!$G$12*AD6),0)</f>
        <v>34.982872438016528</v>
      </c>
      <c r="AE42" s="30">
        <f ca="1">IF(OR(AE1='Input Tables'!$BA$35,AE1='Input Tables'!$BB$35, AE1='Input Tables'!$BC$35,AE1='Input Tables'!$BD$35, AE1='Input Tables'!$BE$35,AE1='Input Tables'!$BF$35,AE1='Input Tables'!$BG$35,AE1='Input Tables'!$BH$35,AE1='Input Tables'!$BI$35,AE1='Input Tables'!$BJ$35,AE1='Input Tables'!CJ35,'Input Tables'!$BL$35),('Cost Budgets'!$G$12*AE6),0)</f>
        <v>34.982872438016528</v>
      </c>
      <c r="AF42" s="30">
        <f ca="1">IF(OR(AF1='Input Tables'!$BA$35,AF1='Input Tables'!$BB$35, AF1='Input Tables'!$BC$35,AF1='Input Tables'!$BD$35, AF1='Input Tables'!$BE$35,AF1='Input Tables'!$BF$35,AF1='Input Tables'!$BG$35,AF1='Input Tables'!$BH$35,AF1='Input Tables'!$BI$35,AF1='Input Tables'!$BJ$35,AF1='Input Tables'!CK35,'Input Tables'!$BL$35),('Cost Budgets'!$G$12*AF6),0)</f>
        <v>31.484585194214876</v>
      </c>
      <c r="AG42" s="30">
        <f ca="1">IF(OR(AG1='Input Tables'!$BA$35,AG1='Input Tables'!$BB$35, AG1='Input Tables'!$BC$35,AG1='Input Tables'!$BD$35, AG1='Input Tables'!$BE$35,AG1='Input Tables'!$BF$35,AG1='Input Tables'!$BG$35,AG1='Input Tables'!$BH$35,AG1='Input Tables'!$BI$35,AG1='Input Tables'!$BJ$35,AG1='Input Tables'!CL35,'Input Tables'!$BL$35),('Cost Budgets'!$G$12*AG6),0)</f>
        <v>31.484585194214876</v>
      </c>
      <c r="AH42" s="30">
        <f ca="1">IF(OR(AH1='Input Tables'!$BA$35,AH1='Input Tables'!$BB$35, AH1='Input Tables'!$BC$35,AH1='Input Tables'!$BD$35, AH1='Input Tables'!$BE$35,AH1='Input Tables'!$BF$35,AH1='Input Tables'!$BG$35,AH1='Input Tables'!$BH$35,AH1='Input Tables'!$BI$35,AH1='Input Tables'!$BJ$35,AH1='Input Tables'!CM35,'Input Tables'!$BL$35),('Cost Budgets'!$G$12*AH6),0)</f>
        <v>28.336126674793388</v>
      </c>
      <c r="AI42" s="30">
        <f ca="1">IF(OR(AI1='Input Tables'!$BA$35,AI1='Input Tables'!$BB$35, AI1='Input Tables'!$BC$35,AI1='Input Tables'!$BD$35, AI1='Input Tables'!$BE$35,AI1='Input Tables'!$BF$35,AI1='Input Tables'!$BG$35,AI1='Input Tables'!$BH$35,AI1='Input Tables'!$BI$35,AI1='Input Tables'!$BJ$35,AI1='Input Tables'!CN35,'Input Tables'!$BL$35),('Cost Budgets'!$G$12*AI6),0)</f>
        <v>28.336126674793388</v>
      </c>
      <c r="AJ42" s="30">
        <f ca="1">IF(OR(AJ1='Input Tables'!$BA$35,AJ1='Input Tables'!$BB$35, AJ1='Input Tables'!$BC$35,AJ1='Input Tables'!$BD$35, AJ1='Input Tables'!$BE$35,AJ1='Input Tables'!$BF$35,AJ1='Input Tables'!$BG$35,AJ1='Input Tables'!$BH$35,AJ1='Input Tables'!$BI$35,AJ1='Input Tables'!$BJ$35,AJ1='Input Tables'!CO35,'Input Tables'!$BL$35),('Cost Budgets'!$G$12*AJ6),0)</f>
        <v>25.502514007314051</v>
      </c>
      <c r="AK42" s="30">
        <f ca="1">IF(OR(AK1='Input Tables'!$BA$35,AK1='Input Tables'!$BB$35, AK1='Input Tables'!$BC$35,AK1='Input Tables'!$BD$35, AK1='Input Tables'!$BE$35,AK1='Input Tables'!$BF$35,AK1='Input Tables'!$BG$35,AK1='Input Tables'!$BH$35,AK1='Input Tables'!$BI$35,AK1='Input Tables'!$BJ$35,AK1='Input Tables'!CP35,'Input Tables'!$BL$35),('Cost Budgets'!$G$12*AK6),0)</f>
        <v>25.502514007314051</v>
      </c>
      <c r="AL42" s="30">
        <f ca="1">IF(OR(AL1='Input Tables'!$BA$35,AL1='Input Tables'!$BB$35, AL1='Input Tables'!$BC$35,AL1='Input Tables'!$BD$35, AL1='Input Tables'!$BE$35,AL1='Input Tables'!$BF$35,AL1='Input Tables'!$BG$35,AL1='Input Tables'!$BH$35,AL1='Input Tables'!$BI$35,AL1='Input Tables'!$BJ$35,AL1='Input Tables'!CQ35,'Input Tables'!$BL$35),('Cost Budgets'!$G$12*AL6),0)</f>
        <v>22.952262606582646</v>
      </c>
      <c r="AM42" s="30">
        <f ca="1">IF(OR(AM1='Input Tables'!$BA$35,AM1='Input Tables'!$BB$35, AM1='Input Tables'!$BC$35,AM1='Input Tables'!$BD$35, AM1='Input Tables'!$BE$35,AM1='Input Tables'!$BF$35,AM1='Input Tables'!$BG$35,AM1='Input Tables'!$BH$35,AM1='Input Tables'!$BI$35,AM1='Input Tables'!$BJ$35,AM1='Input Tables'!CR35,'Input Tables'!$BL$35),('Cost Budgets'!$G$12*AM6),0)</f>
        <v>22.952262606582646</v>
      </c>
      <c r="AN42" s="30">
        <f ca="1">IF(OR(AN1='Input Tables'!$BA$35,AN1='Input Tables'!$BB$35, AN1='Input Tables'!$BC$35,AN1='Input Tables'!$BD$35, AN1='Input Tables'!$BE$35,AN1='Input Tables'!$BF$35,AN1='Input Tables'!$BG$35,AN1='Input Tables'!$BH$35,AN1='Input Tables'!$BI$35,AN1='Input Tables'!$BJ$35,AN1='Input Tables'!CS35,'Input Tables'!$BL$35),('Cost Budgets'!$G$12*AN6),0)</f>
        <v>22.952262606582646</v>
      </c>
      <c r="AO42" s="30">
        <f ca="1">IF(OR(AO1='Input Tables'!$BA$35,AO1='Input Tables'!$BB$35, AO1='Input Tables'!$BC$35,AO1='Input Tables'!$BD$35, AO1='Input Tables'!$BE$35,AO1='Input Tables'!$BF$35,AO1='Input Tables'!$BG$35,AO1='Input Tables'!$BH$35,AO1='Input Tables'!$BI$35,AO1='Input Tables'!$BJ$35,AO1='Input Tables'!CT35,'Input Tables'!$BL$35),('Cost Budgets'!$G$12*AO6),0)</f>
        <v>20.657036345924382</v>
      </c>
      <c r="AP42" s="30">
        <f ca="1">IF(OR(AP1='Input Tables'!$BA$35,AP1='Input Tables'!$BB$35, AP1='Input Tables'!$BC$35,AP1='Input Tables'!$BD$35, AP1='Input Tables'!$BE$35,AP1='Input Tables'!$BF$35,AP1='Input Tables'!$BG$35,AP1='Input Tables'!$BH$35,AP1='Input Tables'!$BI$35,AP1='Input Tables'!$BJ$35,AP1='Input Tables'!CU35,'Input Tables'!$BL$35),('Cost Budgets'!$G$12*AP6),0)</f>
        <v>20.657036345924382</v>
      </c>
      <c r="AQ42" s="30">
        <f ca="1">IF(OR(AQ1='Input Tables'!$BA$35,AQ1='Input Tables'!$BB$35, AQ1='Input Tables'!$BC$35,AQ1='Input Tables'!$BD$35, AQ1='Input Tables'!$BE$35,AQ1='Input Tables'!$BF$35,AQ1='Input Tables'!$BG$35,AQ1='Input Tables'!$BH$35,AQ1='Input Tables'!$BI$35,AQ1='Input Tables'!$BJ$35,AQ1='Input Tables'!CV35,'Input Tables'!$BL$35),('Cost Budgets'!$G$12*AQ6),0)</f>
        <v>18.591332711331944</v>
      </c>
      <c r="AR42" s="30">
        <f ca="1">IF(OR(AR1='Input Tables'!$BA$35,AR1='Input Tables'!$BB$35, AR1='Input Tables'!$BC$35,AR1='Input Tables'!$BD$35, AR1='Input Tables'!$BE$35,AR1='Input Tables'!$BF$35,AR1='Input Tables'!$BG$35,AR1='Input Tables'!$BH$35,AR1='Input Tables'!$BI$35,AR1='Input Tables'!$BJ$35,AR1='Input Tables'!CW35,'Input Tables'!$BL$35),('Cost Budgets'!$G$12*AR6),0)</f>
        <v>18.591332711331944</v>
      </c>
      <c r="AS42" s="30">
        <f ca="1">IF(OR(AS1='Input Tables'!$BA$35,AS1='Input Tables'!$BB$35, AS1='Input Tables'!$BC$35,AS1='Input Tables'!$BD$35, AS1='Input Tables'!$BE$35,AS1='Input Tables'!$BF$35,AS1='Input Tables'!$BG$35,AS1='Input Tables'!$BH$35,AS1='Input Tables'!$BI$35,AS1='Input Tables'!$BJ$35,AS1='Input Tables'!CX35,'Input Tables'!$BL$35),('Cost Budgets'!$G$12*AS6),0)</f>
        <v>18.591332711331944</v>
      </c>
      <c r="AT42" s="30">
        <f ca="1">IF(OR(AT1='Input Tables'!$BA$35,AT1='Input Tables'!$BB$35, AT1='Input Tables'!$BC$35,AT1='Input Tables'!$BD$35, AT1='Input Tables'!$BE$35,AT1='Input Tables'!$BF$35,AT1='Input Tables'!$BG$35,AT1='Input Tables'!$BH$35,AT1='Input Tables'!$BI$35,AT1='Input Tables'!$BJ$35,AT1='Input Tables'!CY35,'Input Tables'!$BL$35),('Cost Budgets'!$G$12*AT6),0)</f>
        <v>16.732199440198748</v>
      </c>
      <c r="AU42" s="30">
        <f ca="1">IF(OR(AU1='Input Tables'!$BA$35,AU1='Input Tables'!$BB$35, AU1='Input Tables'!$BC$35,AU1='Input Tables'!$BD$35, AU1='Input Tables'!$BE$35,AU1='Input Tables'!$BF$35,AU1='Input Tables'!$BG$35,AU1='Input Tables'!$BH$35,AU1='Input Tables'!$BI$35,AU1='Input Tables'!$BJ$35,AU1='Input Tables'!CZ35,'Input Tables'!$BL$35),('Cost Budgets'!$G$12*AU6),0)</f>
        <v>16.732199440198748</v>
      </c>
      <c r="AV42" s="30">
        <f ca="1">IF(OR(AV1='Input Tables'!$BA$35,AV1='Input Tables'!$BB$35, AV1='Input Tables'!$BC$35,AV1='Input Tables'!$BD$35, AV1='Input Tables'!$BE$35,AV1='Input Tables'!$BF$35,AV1='Input Tables'!$BG$35,AV1='Input Tables'!$BH$35,AV1='Input Tables'!$BI$35,AV1='Input Tables'!$BJ$35,AV1='Input Tables'!DA35,'Input Tables'!$BL$35),('Cost Budgets'!$G$12*AV6),0)</f>
        <v>15.058979496178873</v>
      </c>
      <c r="AW42" s="30">
        <f ca="1">IF(OR(AW1='Input Tables'!$BA$35,AW1='Input Tables'!$BB$35, AW1='Input Tables'!$BC$35,AW1='Input Tables'!$BD$35, AW1='Input Tables'!$BE$35,AW1='Input Tables'!$BF$35,AW1='Input Tables'!$BG$35,AW1='Input Tables'!$BH$35,AW1='Input Tables'!$BI$35,AW1='Input Tables'!$BJ$35,AW1='Input Tables'!DB35,'Input Tables'!$BL$35),('Cost Budgets'!$G$12*AW6),0)</f>
        <v>15.058979496178873</v>
      </c>
      <c r="AX42" s="30">
        <f ca="1">IF(OR(AX1='Input Tables'!$BA$35,AX1='Input Tables'!$BB$35, AX1='Input Tables'!$BC$35,AX1='Input Tables'!$BD$35, AX1='Input Tables'!$BE$35,AX1='Input Tables'!$BF$35,AX1='Input Tables'!$BG$35,AX1='Input Tables'!$BH$35,AX1='Input Tables'!$BI$35,AX1='Input Tables'!$BJ$35,AX1='Input Tables'!DC35,'Input Tables'!$BL$35),('Cost Budgets'!$G$12*AX6),0)</f>
        <v>15.058979496178873</v>
      </c>
      <c r="AY42" s="30">
        <f ca="1">IF(OR(AY1='Input Tables'!$BA$35,AY1='Input Tables'!$BB$35, AY1='Input Tables'!$BC$35,AY1='Input Tables'!$BD$35, AY1='Input Tables'!$BE$35,AY1='Input Tables'!$BF$35,AY1='Input Tables'!$BG$35,AY1='Input Tables'!$BH$35,AY1='Input Tables'!$BI$35,AY1='Input Tables'!$BJ$35,AY1='Input Tables'!DD35,'Input Tables'!$BL$35),('Cost Budgets'!$G$12*AY6),0)</f>
        <v>13.553081546560986</v>
      </c>
      <c r="AZ42" s="30">
        <f ca="1">IF(OR(AZ1='Input Tables'!$BA$35,AZ1='Input Tables'!$BB$35, AZ1='Input Tables'!$BC$35,AZ1='Input Tables'!$BD$35, AZ1='Input Tables'!$BE$35,AZ1='Input Tables'!$BF$35,AZ1='Input Tables'!$BG$35,AZ1='Input Tables'!$BH$35,AZ1='Input Tables'!$BI$35,AZ1='Input Tables'!$BJ$35,AZ1='Input Tables'!DE35,'Input Tables'!$BL$35),('Cost Budgets'!$G$12*AZ6),0)</f>
        <v>13.553081546560986</v>
      </c>
      <c r="BA42" s="30">
        <f ca="1">IF(OR(BA1='Input Tables'!$BA$35,BA1='Input Tables'!$BB$35, BA1='Input Tables'!$BC$35,BA1='Input Tables'!$BD$35, BA1='Input Tables'!$BE$35,BA1='Input Tables'!$BF$35,BA1='Input Tables'!$BG$35,BA1='Input Tables'!$BH$35,BA1='Input Tables'!$BI$35,BA1='Input Tables'!$BJ$35,BA1='Input Tables'!DF35,'Input Tables'!$BL$35),('Cost Budgets'!$G$12*BA6),0)</f>
        <v>13.553081546560986</v>
      </c>
      <c r="BB42" s="30">
        <f ca="1">IF(OR(BB1='Input Tables'!$BA$35,BB1='Input Tables'!$BB$35, BB1='Input Tables'!$BC$35,BB1='Input Tables'!$BD$35, BB1='Input Tables'!$BE$35,BB1='Input Tables'!$BF$35,BB1='Input Tables'!$BG$35,BB1='Input Tables'!$BH$35,BB1='Input Tables'!$BI$35,BB1='Input Tables'!$BJ$35,BB1='Input Tables'!DG35,'Input Tables'!$BL$35),('Cost Budgets'!$G$12*BB6),0)</f>
        <v>12.197773391904887</v>
      </c>
      <c r="BC42" s="30">
        <f ca="1">IF(OR(BC1='Input Tables'!$BA$35,BC1='Input Tables'!$BB$35, BC1='Input Tables'!$BC$35,BC1='Input Tables'!$BD$35, BC1='Input Tables'!$BE$35,BC1='Input Tables'!$BF$35,BC1='Input Tables'!$BG$35,BC1='Input Tables'!$BH$35,BC1='Input Tables'!$BI$35,BC1='Input Tables'!$BJ$35,BC1='Input Tables'!DH35,'Input Tables'!$BL$35),('Cost Budgets'!$G$12*BC6),0)</f>
        <v>12.197773391904887</v>
      </c>
      <c r="BD42" s="30">
        <f ca="1">IF(OR(BD1='Input Tables'!$BA$35,BD1='Input Tables'!$BB$35, BD1='Input Tables'!$BC$35,BD1='Input Tables'!$BD$35, BD1='Input Tables'!$BE$35,BD1='Input Tables'!$BF$35,BD1='Input Tables'!$BG$35,BD1='Input Tables'!$BH$35,BD1='Input Tables'!$BI$35,BD1='Input Tables'!$BJ$35,BD1='Input Tables'!DI35,'Input Tables'!$BL$35),('Cost Budgets'!$G$12*BD6),0)</f>
        <v>12.197773391904887</v>
      </c>
      <c r="BE42" s="30">
        <f ca="1">IF(OR(BE1='Input Tables'!$BA$35,BE1='Input Tables'!$BB$35, BE1='Input Tables'!$BC$35,BE1='Input Tables'!$BD$35, BE1='Input Tables'!$BE$35,BE1='Input Tables'!$BF$35,BE1='Input Tables'!$BG$35,BE1='Input Tables'!$BH$35,BE1='Input Tables'!$BI$35,BE1='Input Tables'!$BJ$35,BE1='Input Tables'!DJ35,'Input Tables'!$BL$35),('Cost Budgets'!$G$12*BE6),0)</f>
        <v>10.977996052714397</v>
      </c>
      <c r="BF42" s="30">
        <f ca="1">IF(OR(BF1='Input Tables'!$BA$35,BF1='Input Tables'!$BB$35, BF1='Input Tables'!$BC$35,BF1='Input Tables'!$BD$35, BF1='Input Tables'!$BE$35,BF1='Input Tables'!$BF$35,BF1='Input Tables'!$BG$35,BF1='Input Tables'!$BH$35,BF1='Input Tables'!$BI$35,BF1='Input Tables'!$BJ$35,BF1='Input Tables'!DK35,'Input Tables'!$BL$35),('Cost Budgets'!$G$12*BF6),0)</f>
        <v>10.977996052714397</v>
      </c>
      <c r="BG42" s="30">
        <f ca="1">IF(OR(BG1='Input Tables'!$BA$35,BG1='Input Tables'!$BB$35, BG1='Input Tables'!$BC$35,BG1='Input Tables'!$BD$35, BG1='Input Tables'!$BE$35,BG1='Input Tables'!$BF$35,BG1='Input Tables'!$BG$35,BG1='Input Tables'!$BH$35,BG1='Input Tables'!$BI$35,BG1='Input Tables'!$BJ$35,BG1='Input Tables'!DL35,'Input Tables'!$BL$35),('Cost Budgets'!$G$12*BG6),0)</f>
        <v>10.977996052714397</v>
      </c>
      <c r="BH42" s="30">
        <f ca="1">IF(OR(BH1='Input Tables'!$BA$35,BH1='Input Tables'!$BB$35, BH1='Input Tables'!$BC$35,BH1='Input Tables'!$BD$35, BH1='Input Tables'!$BE$35,BH1='Input Tables'!$BF$35,BH1='Input Tables'!$BG$35,BH1='Input Tables'!$BH$35,BH1='Input Tables'!$BI$35,BH1='Input Tables'!$BJ$35,BH1='Input Tables'!DM35,'Input Tables'!$BL$35),('Cost Budgets'!$G$12*BH6),0)</f>
        <v>9.8801964474429589</v>
      </c>
      <c r="BI42" s="30">
        <f ca="1">IF(OR(BI1='Input Tables'!$BA$35,BI1='Input Tables'!$BB$35, BI1='Input Tables'!$BC$35,BI1='Input Tables'!$BD$35, BI1='Input Tables'!$BE$35,BI1='Input Tables'!$BF$35,BI1='Input Tables'!$BG$35,BI1='Input Tables'!$BH$35,BI1='Input Tables'!$BI$35,BI1='Input Tables'!$BJ$35,BI1='Input Tables'!DN35,'Input Tables'!$BL$35),('Cost Budgets'!$G$12*BI6),0)</f>
        <v>9.8801964474429589</v>
      </c>
      <c r="BJ42" s="30">
        <f ca="1">IF(OR(BJ1='Input Tables'!$BA$35,BJ1='Input Tables'!$BB$35, BJ1='Input Tables'!$BC$35,BJ1='Input Tables'!$BD$35, BJ1='Input Tables'!$BE$35,BJ1='Input Tables'!$BF$35,BJ1='Input Tables'!$BG$35,BJ1='Input Tables'!$BH$35,BJ1='Input Tables'!$BI$35,BJ1='Input Tables'!$BJ$35,BJ1='Input Tables'!DO35,'Input Tables'!$BL$35),('Cost Budgets'!$G$12*BJ6),0)</f>
        <v>9.8801964474429589</v>
      </c>
      <c r="BK42" s="30">
        <f ca="1">IF(OR(BK1='Input Tables'!$BA$35,BK1='Input Tables'!$BB$35, BK1='Input Tables'!$BC$35,BK1='Input Tables'!$BD$35, BK1='Input Tables'!$BE$35,BK1='Input Tables'!$BF$35,BK1='Input Tables'!$BG$35,BK1='Input Tables'!$BH$35,BK1='Input Tables'!$BI$35,BK1='Input Tables'!$BJ$35,BK1='Input Tables'!DP35,'Input Tables'!$BL$35),('Cost Budgets'!$G$12*BK6),0)</f>
        <v>9.8801964474429589</v>
      </c>
    </row>
    <row r="43" spans="1:63" x14ac:dyDescent="0.35">
      <c r="A43" s="188"/>
    </row>
    <row r="44" spans="1:63" x14ac:dyDescent="0.35">
      <c r="A44" s="188"/>
      <c r="B44" t="s">
        <v>26</v>
      </c>
      <c r="E44" s="30">
        <f>IF(OR(E1='Input Tables'!$BA$41, E1='Input Tables'!$BB$41,E1='Input Tables'!$BC$41, E1='Input Tables'!$BD$41,E1='Input Tables'!$BE$41,E1='Input Tables'!$BF$41,E1='Input Tables'!$BG$41,E1='Input Tables'!$BH$41,E1='Input Tables'!$BI$41,E1='Input Tables'!$BJ$41,E1='Input Tables'!$BK$41, E1='Input Tables'!$BL$41,'Input Tables'!$BM$41),('Cost Budgets'!$G$13*E6),0)</f>
        <v>0</v>
      </c>
      <c r="F44" s="30">
        <f>IF(OR(F1='Input Tables'!$BA$41, F1='Input Tables'!$BB$41,F1='Input Tables'!$BC$41, F1='Input Tables'!$BD$41,F1='Input Tables'!$BE$41,F1='Input Tables'!$BF$41,F1='Input Tables'!$BG$41,F1='Input Tables'!$BH$41,F1='Input Tables'!$BI$41,F1='Input Tables'!$BJ$41,F1='Input Tables'!$BK$41, F1='Input Tables'!$BL$41,'Input Tables'!$BM$41),('Cost Budgets'!$G$13*F6),0)</f>
        <v>0</v>
      </c>
      <c r="G44" s="30">
        <f>IF(OR(G1='Input Tables'!$BA$41, G1='Input Tables'!$BB$41,G1='Input Tables'!$BC$41, G1='Input Tables'!$BD$41,G1='Input Tables'!$BE$41,G1='Input Tables'!$BF$41,G1='Input Tables'!$BG$41,G1='Input Tables'!$BH$41,G1='Input Tables'!$BI$41,G1='Input Tables'!$BJ$41,G1='Input Tables'!$BK$41, G1='Input Tables'!$BL$41,'Input Tables'!$BM$41),('Cost Budgets'!$G$13*G6),0)</f>
        <v>0</v>
      </c>
      <c r="H44" s="30">
        <f ca="1">IF(OR(H1='Input Tables'!$BA$41, H1='Input Tables'!$BB$41,H1='Input Tables'!$BC$41, H1='Input Tables'!$BD$41,H1='Input Tables'!$BE$41,H1='Input Tables'!$BF$41,H1='Input Tables'!$BG$41,H1='Input Tables'!$BH$41,H1='Input Tables'!$BI$41,H1='Input Tables'!$BJ$41,H1='Input Tables'!$BK$41, H1='Input Tables'!$BL$41,'Input Tables'!$BM$41),('Cost Budgets'!$G$13*H6),0)</f>
        <v>46.4</v>
      </c>
      <c r="I44" s="30">
        <f>IF(OR(I1='Input Tables'!$BA$41, I1='Input Tables'!$BB$41,I1='Input Tables'!$BC$41, I1='Input Tables'!$BD$41,I1='Input Tables'!$BE$41,I1='Input Tables'!$BF$41,I1='Input Tables'!$BG$41,I1='Input Tables'!$BH$41,I1='Input Tables'!$BI$41,I1='Input Tables'!$BJ$41,I1='Input Tables'!$BK$41, I1='Input Tables'!$BL$41,'Input Tables'!$BM$41),('Cost Budgets'!$G$13*I6),0)</f>
        <v>0</v>
      </c>
      <c r="J44" s="30">
        <f ca="1">IF(OR(J1='Input Tables'!$BA$41, J1='Input Tables'!$BB$41,J1='Input Tables'!$BC$41, J1='Input Tables'!$BD$41,J1='Input Tables'!$BE$41,J1='Input Tables'!$BF$41,J1='Input Tables'!$BG$41,J1='Input Tables'!$BH$41,J1='Input Tables'!$BI$41,J1='Input Tables'!$BJ$41,J1='Input Tables'!$BK$41, J1='Input Tables'!$BL$41,'Input Tables'!$BM$41),('Cost Budgets'!$G$13*J6),0)</f>
        <v>42.4</v>
      </c>
      <c r="K44" s="30">
        <f>IF(OR(K1='Input Tables'!$BA$41, K1='Input Tables'!$BB$41,K1='Input Tables'!$BC$41, K1='Input Tables'!$BD$41,K1='Input Tables'!$BE$41,K1='Input Tables'!$BF$41,K1='Input Tables'!$BG$41,K1='Input Tables'!$BH$41,K1='Input Tables'!$BI$41,K1='Input Tables'!$BJ$41,K1='Input Tables'!$BK$41, K1='Input Tables'!$BL$41,'Input Tables'!$BM$41),('Cost Budgets'!$G$13*K6),0)</f>
        <v>0</v>
      </c>
      <c r="L44" s="30">
        <f ca="1">IF(OR(L1='Input Tables'!$BA$41, L1='Input Tables'!$BB$41,L1='Input Tables'!$BC$41, L1='Input Tables'!$BD$41,L1='Input Tables'!$BE$41,L1='Input Tables'!$BF$41,L1='Input Tables'!$BG$41,L1='Input Tables'!$BH$41,L1='Input Tables'!$BI$41,L1='Input Tables'!$BJ$41,L1='Input Tables'!$BK$41, L1='Input Tables'!$BL$41,'Input Tables'!$BM$41),('Cost Budgets'!$G$13*L6),0)</f>
        <v>38.4</v>
      </c>
      <c r="M44" s="30">
        <f>IF(OR(M1='Input Tables'!$BA$41, M1='Input Tables'!$BB$41,M1='Input Tables'!$BC$41, M1='Input Tables'!$BD$41,M1='Input Tables'!$BE$41,M1='Input Tables'!$BF$41,M1='Input Tables'!$BG$41,M1='Input Tables'!$BH$41,M1='Input Tables'!$BI$41,M1='Input Tables'!$BJ$41,M1='Input Tables'!$BK$41, M1='Input Tables'!$BL$41,'Input Tables'!$BM$41),('Cost Budgets'!$G$13*M6),0)</f>
        <v>0</v>
      </c>
      <c r="N44" s="30">
        <f ca="1">IF(OR(N1='Input Tables'!$BA$41, N1='Input Tables'!$BB$41,N1='Input Tables'!$BC$41, N1='Input Tables'!$BD$41,N1='Input Tables'!$BE$41,N1='Input Tables'!$BF$41,N1='Input Tables'!$BG$41,N1='Input Tables'!$BH$41,N1='Input Tables'!$BI$41,N1='Input Tables'!$BJ$41,N1='Input Tables'!$BK$41, N1='Input Tables'!$BL$41,'Input Tables'!$BM$41),('Cost Budgets'!$G$13*N6),0)</f>
        <v>35.4</v>
      </c>
      <c r="O44" s="30">
        <f>IF(OR(O1='Input Tables'!$BA$41, O1='Input Tables'!$BB$41,O1='Input Tables'!$BC$41, O1='Input Tables'!$BD$41,O1='Input Tables'!$BE$41,O1='Input Tables'!$BF$41,O1='Input Tables'!$BG$41,O1='Input Tables'!$BH$41,O1='Input Tables'!$BI$41,O1='Input Tables'!$BJ$41,O1='Input Tables'!$BK$41, O1='Input Tables'!$BL$41,'Input Tables'!$BM$41),('Cost Budgets'!$G$13*O6),0)</f>
        <v>0</v>
      </c>
      <c r="P44" s="30">
        <f>IF(OR(P1='Input Tables'!$BA$41, P1='Input Tables'!$BB$41,P1='Input Tables'!$BC$41, P1='Input Tables'!$BD$41,P1='Input Tables'!$BE$41,P1='Input Tables'!$BF$41,P1='Input Tables'!$BG$41,P1='Input Tables'!$BH$41,P1='Input Tables'!$BI$41,P1='Input Tables'!$BJ$41,P1='Input Tables'!$BK$41, P1='Input Tables'!$BL$41,'Input Tables'!$BM$41),('Cost Budgets'!$G$13*P6),0)</f>
        <v>0</v>
      </c>
      <c r="Q44" s="30">
        <f>IF(OR(Q1='Input Tables'!$BA$41, Q1='Input Tables'!$BB$41,Q1='Input Tables'!$BC$41, Q1='Input Tables'!$BD$41,Q1='Input Tables'!$BE$41,Q1='Input Tables'!$BF$41,Q1='Input Tables'!$BG$41,Q1='Input Tables'!$BH$41,Q1='Input Tables'!$BI$41,Q1='Input Tables'!$BJ$41,Q1='Input Tables'!$BK$41, Q1='Input Tables'!$BL$41,'Input Tables'!$BM$41),('Cost Budgets'!$G$13*Q6),0)</f>
        <v>0</v>
      </c>
      <c r="R44" s="30">
        <f>IF(OR(R1='Input Tables'!$BA$41, R1='Input Tables'!$BB$41,R1='Input Tables'!$BC$41, R1='Input Tables'!$BD$41,R1='Input Tables'!$BE$41,R1='Input Tables'!$BF$41,R1='Input Tables'!$BG$41,R1='Input Tables'!$BH$41,R1='Input Tables'!$BI$41,R1='Input Tables'!$BJ$41,R1='Input Tables'!$BK$41, R1='Input Tables'!$BL$41,'Input Tables'!$BM$41),('Cost Budgets'!$G$13*R6),0)</f>
        <v>0</v>
      </c>
      <c r="S44" s="30">
        <f>IF(OR(S1='Input Tables'!$BA$41, S1='Input Tables'!$BB$41,S1='Input Tables'!$BC$41, S1='Input Tables'!$BD$41,S1='Input Tables'!$BE$41,S1='Input Tables'!$BF$41,S1='Input Tables'!$BG$41,S1='Input Tables'!$BH$41,S1='Input Tables'!$BI$41,S1='Input Tables'!$BJ$41,S1='Input Tables'!$BK$41, S1='Input Tables'!$BL$41,'Input Tables'!$BM$41),('Cost Budgets'!$G$13*S6),0)</f>
        <v>0</v>
      </c>
      <c r="T44" s="30">
        <f>IF(OR(T1='Input Tables'!$BA$41, T1='Input Tables'!$BB$41,T1='Input Tables'!$BC$41, T1='Input Tables'!$BD$41,T1='Input Tables'!$BE$41,T1='Input Tables'!$BF$41,T1='Input Tables'!$BG$41,T1='Input Tables'!$BH$41,T1='Input Tables'!$BI$41,T1='Input Tables'!$BJ$41,T1='Input Tables'!$BK$41, T1='Input Tables'!$BL$41,'Input Tables'!$BM$41),('Cost Budgets'!$G$13*T6),0)</f>
        <v>0</v>
      </c>
      <c r="U44" s="30">
        <f>IF(OR(U1='Input Tables'!$BA$41, U1='Input Tables'!$BB$41,U1='Input Tables'!$BC$41, U1='Input Tables'!$BD$41,U1='Input Tables'!$BE$41,U1='Input Tables'!$BF$41,U1='Input Tables'!$BG$41,U1='Input Tables'!$BH$41,U1='Input Tables'!$BI$41,U1='Input Tables'!$BJ$41,U1='Input Tables'!$BK$41, U1='Input Tables'!$BL$41,'Input Tables'!$BM$41),('Cost Budgets'!$G$13*U6),0)</f>
        <v>0</v>
      </c>
      <c r="V44" s="30">
        <f>IF(OR(V1='Input Tables'!$BA$41, V1='Input Tables'!$BB$41,V1='Input Tables'!$BC$41, V1='Input Tables'!$BD$41,V1='Input Tables'!$BE$41,V1='Input Tables'!$BF$41,V1='Input Tables'!$BG$41,V1='Input Tables'!$BH$41,V1='Input Tables'!$BI$41,V1='Input Tables'!$BJ$41,V1='Input Tables'!$BK$41, V1='Input Tables'!$BL$41,'Input Tables'!$BM$41),('Cost Budgets'!$G$13*V6),0)</f>
        <v>0</v>
      </c>
      <c r="W44" s="30">
        <f>IF(OR(W1='Input Tables'!$BA$41, W1='Input Tables'!$BB$41,W1='Input Tables'!$BC$41, W1='Input Tables'!$BD$41,W1='Input Tables'!$BE$41,W1='Input Tables'!$BF$41,W1='Input Tables'!$BG$41,W1='Input Tables'!$BH$41,W1='Input Tables'!$BI$41,W1='Input Tables'!$BJ$41,W1='Input Tables'!$BK$41, W1='Input Tables'!$BL$41,'Input Tables'!$BM$41),('Cost Budgets'!$G$13*W6),0)</f>
        <v>0</v>
      </c>
      <c r="X44" s="30">
        <f>IF(OR(X1='Input Tables'!$BA$41, X1='Input Tables'!$BB$41,X1='Input Tables'!$BC$41, X1='Input Tables'!$BD$41,X1='Input Tables'!$BE$41,X1='Input Tables'!$BF$41,X1='Input Tables'!$BG$41,X1='Input Tables'!$BH$41,X1='Input Tables'!$BI$41,X1='Input Tables'!$BJ$41,X1='Input Tables'!$BK$41, X1='Input Tables'!$BL$41,'Input Tables'!$BM$41),('Cost Budgets'!$G$13*X6),0)</f>
        <v>0</v>
      </c>
      <c r="Y44" s="30">
        <f>IF(OR(Y1='Input Tables'!$BA$41, Y1='Input Tables'!$BB$41,Y1='Input Tables'!$BC$41, Y1='Input Tables'!$BD$41,Y1='Input Tables'!$BE$41,Y1='Input Tables'!$BF$41,Y1='Input Tables'!$BG$41,Y1='Input Tables'!$BH$41,Y1='Input Tables'!$BI$41,Y1='Input Tables'!$BJ$41,Y1='Input Tables'!$BK$41, Y1='Input Tables'!$BL$41,'Input Tables'!$BM$41),('Cost Budgets'!$G$13*Y6),0)</f>
        <v>0</v>
      </c>
      <c r="Z44" s="30">
        <f>IF(OR(Z1='Input Tables'!$BA$41, Z1='Input Tables'!$BB$41,Z1='Input Tables'!$BC$41, Z1='Input Tables'!$BD$41,Z1='Input Tables'!$BE$41,Z1='Input Tables'!$BF$41,Z1='Input Tables'!$BG$41,Z1='Input Tables'!$BH$41,Z1='Input Tables'!$BI$41,Z1='Input Tables'!$BJ$41,Z1='Input Tables'!$BK$41, Z1='Input Tables'!$BL$41,'Input Tables'!$BM$41),('Cost Budgets'!$G$13*Z6),0)</f>
        <v>0</v>
      </c>
      <c r="AA44" s="30">
        <f>IF(OR(AA1='Input Tables'!$BA$41, AA1='Input Tables'!$BB$41,AA1='Input Tables'!$BC$41, AA1='Input Tables'!$BD$41,AA1='Input Tables'!$BE$41,AA1='Input Tables'!$BF$41,AA1='Input Tables'!$BG$41,AA1='Input Tables'!$BH$41,AA1='Input Tables'!$BI$41,AA1='Input Tables'!$BJ$41,AA1='Input Tables'!$BK$41, AA1='Input Tables'!$BL$41,'Input Tables'!$BM$41),('Cost Budgets'!$G$13*AA6),0)</f>
        <v>0</v>
      </c>
      <c r="AB44" s="30">
        <f>IF(OR(AB1='Input Tables'!$BA$41, AB1='Input Tables'!$BB$41,AB1='Input Tables'!$BC$41, AB1='Input Tables'!$BD$41,AB1='Input Tables'!$BE$41,AB1='Input Tables'!$BF$41,AB1='Input Tables'!$BG$41,AB1='Input Tables'!$BH$41,AB1='Input Tables'!$BI$41,AB1='Input Tables'!$BJ$41,AB1='Input Tables'!$BK$41, AB1='Input Tables'!$BL$41,'Input Tables'!$BM$41),('Cost Budgets'!$G$13*AB6),0)</f>
        <v>0</v>
      </c>
      <c r="AC44" s="30">
        <f>IF(OR(AC1='Input Tables'!$BA$41, AC1='Input Tables'!$BB$41,AC1='Input Tables'!$BC$41, AC1='Input Tables'!$BD$41,AC1='Input Tables'!$BE$41,AC1='Input Tables'!$BF$41,AC1='Input Tables'!$BG$41,AC1='Input Tables'!$BH$41,AC1='Input Tables'!$BI$41,AC1='Input Tables'!$BJ$41,AC1='Input Tables'!$BK$41, AC1='Input Tables'!$BL$41,'Input Tables'!$BM$41),('Cost Budgets'!$G$13*AC6),0)</f>
        <v>0</v>
      </c>
      <c r="AD44" s="30">
        <f>IF(OR(AD1='Input Tables'!$BA$41, AD1='Input Tables'!$BB$41,AD1='Input Tables'!$BC$41, AD1='Input Tables'!$BD$41,AD1='Input Tables'!$BE$41,AD1='Input Tables'!$BF$41,AD1='Input Tables'!$BG$41,AD1='Input Tables'!$BH$41,AD1='Input Tables'!$BI$41,AD1='Input Tables'!$BJ$41,AD1='Input Tables'!$BK$41, AD1='Input Tables'!$BL$41,'Input Tables'!$BM$41),('Cost Budgets'!$G$13*AD6),0)</f>
        <v>0</v>
      </c>
      <c r="AE44" s="30">
        <f>IF(OR(AE1='Input Tables'!$BA$41, AE1='Input Tables'!$BB$41,AE1='Input Tables'!$BC$41, AE1='Input Tables'!$BD$41,AE1='Input Tables'!$BE$41,AE1='Input Tables'!$BF$41,AE1='Input Tables'!$BG$41,AE1='Input Tables'!$BH$41,AE1='Input Tables'!$BI$41,AE1='Input Tables'!$BJ$41,AE1='Input Tables'!$BK$41, AE1='Input Tables'!$BL$41,'Input Tables'!$BM$41),('Cost Budgets'!$G$13*AE6),0)</f>
        <v>0</v>
      </c>
      <c r="AF44" s="30">
        <f>IF(OR(AF1='Input Tables'!$BA$41, AF1='Input Tables'!$BB$41,AF1='Input Tables'!$BC$41, AF1='Input Tables'!$BD$41,AF1='Input Tables'!$BE$41,AF1='Input Tables'!$BF$41,AF1='Input Tables'!$BG$41,AF1='Input Tables'!$BH$41,AF1='Input Tables'!$BI$41,AF1='Input Tables'!$BJ$41,AF1='Input Tables'!$BK$41, AF1='Input Tables'!$BL$41,'Input Tables'!$BM$41),('Cost Budgets'!$G$13*AF6),0)</f>
        <v>0</v>
      </c>
      <c r="AG44" s="30">
        <f>IF(OR(AG1='Input Tables'!$BA$41, AG1='Input Tables'!$BB$41,AG1='Input Tables'!$BC$41, AG1='Input Tables'!$BD$41,AG1='Input Tables'!$BE$41,AG1='Input Tables'!$BF$41,AG1='Input Tables'!$BG$41,AG1='Input Tables'!$BH$41,AG1='Input Tables'!$BI$41,AG1='Input Tables'!$BJ$41,AG1='Input Tables'!$BK$41, AG1='Input Tables'!$BL$41,'Input Tables'!$BM$41),('Cost Budgets'!$G$13*AG6),0)</f>
        <v>0</v>
      </c>
      <c r="AH44" s="30">
        <f>IF(OR(AH1='Input Tables'!$BA$41, AH1='Input Tables'!$BB$41,AH1='Input Tables'!$BC$41, AH1='Input Tables'!$BD$41,AH1='Input Tables'!$BE$41,AH1='Input Tables'!$BF$41,AH1='Input Tables'!$BG$41,AH1='Input Tables'!$BH$41,AH1='Input Tables'!$BI$41,AH1='Input Tables'!$BJ$41,AH1='Input Tables'!$BK$41, AH1='Input Tables'!$BL$41,'Input Tables'!$BM$41),('Cost Budgets'!$G$13*AH6),0)</f>
        <v>0</v>
      </c>
      <c r="AI44" s="30">
        <f>IF(OR(AI1='Input Tables'!$BA$41, AI1='Input Tables'!$BB$41,AI1='Input Tables'!$BC$41, AI1='Input Tables'!$BD$41,AI1='Input Tables'!$BE$41,AI1='Input Tables'!$BF$41,AI1='Input Tables'!$BG$41,AI1='Input Tables'!$BH$41,AI1='Input Tables'!$BI$41,AI1='Input Tables'!$BJ$41,AI1='Input Tables'!$BK$41, AI1='Input Tables'!$BL$41,'Input Tables'!$BM$41),('Cost Budgets'!$G$13*AI6),0)</f>
        <v>0</v>
      </c>
      <c r="AJ44" s="30">
        <f>IF(OR(AJ1='Input Tables'!$BA$41, AJ1='Input Tables'!$BB$41,AJ1='Input Tables'!$BC$41, AJ1='Input Tables'!$BD$41,AJ1='Input Tables'!$BE$41,AJ1='Input Tables'!$BF$41,AJ1='Input Tables'!$BG$41,AJ1='Input Tables'!$BH$41,AJ1='Input Tables'!$BI$41,AJ1='Input Tables'!$BJ$41,AJ1='Input Tables'!$BK$41, AJ1='Input Tables'!$BL$41,'Input Tables'!$BM$41),('Cost Budgets'!$G$13*AJ6),0)</f>
        <v>0</v>
      </c>
      <c r="AK44" s="30">
        <f>IF(OR(AK1='Input Tables'!$BA$41, AK1='Input Tables'!$BB$41,AK1='Input Tables'!$BC$41, AK1='Input Tables'!$BD$41,AK1='Input Tables'!$BE$41,AK1='Input Tables'!$BF$41,AK1='Input Tables'!$BG$41,AK1='Input Tables'!$BH$41,AK1='Input Tables'!$BI$41,AK1='Input Tables'!$BJ$41,AK1='Input Tables'!$BK$41, AK1='Input Tables'!$BL$41,'Input Tables'!$BM$41),('Cost Budgets'!$G$13*AK6),0)</f>
        <v>0</v>
      </c>
      <c r="AL44" s="30">
        <f>IF(OR(AL1='Input Tables'!$BA$41, AL1='Input Tables'!$BB$41,AL1='Input Tables'!$BC$41, AL1='Input Tables'!$BD$41,AL1='Input Tables'!$BE$41,AL1='Input Tables'!$BF$41,AL1='Input Tables'!$BG$41,AL1='Input Tables'!$BH$41,AL1='Input Tables'!$BI$41,AL1='Input Tables'!$BJ$41,AL1='Input Tables'!$BK$41, AL1='Input Tables'!$BL$41,'Input Tables'!$BM$41),('Cost Budgets'!$G$13*AL6),0)</f>
        <v>0</v>
      </c>
      <c r="AM44" s="30">
        <f>IF(OR(AM1='Input Tables'!$BA$41, AM1='Input Tables'!$BB$41,AM1='Input Tables'!$BC$41, AM1='Input Tables'!$BD$41,AM1='Input Tables'!$BE$41,AM1='Input Tables'!$BF$41,AM1='Input Tables'!$BG$41,AM1='Input Tables'!$BH$41,AM1='Input Tables'!$BI$41,AM1='Input Tables'!$BJ$41,AM1='Input Tables'!$BK$41, AM1='Input Tables'!$BL$41,'Input Tables'!$BM$41),('Cost Budgets'!$G$13*AM6),0)</f>
        <v>0</v>
      </c>
      <c r="AN44" s="30">
        <f>IF(OR(AN1='Input Tables'!$BA$41, AN1='Input Tables'!$BB$41,AN1='Input Tables'!$BC$41, AN1='Input Tables'!$BD$41,AN1='Input Tables'!$BE$41,AN1='Input Tables'!$BF$41,AN1='Input Tables'!$BG$41,AN1='Input Tables'!$BH$41,AN1='Input Tables'!$BI$41,AN1='Input Tables'!$BJ$41,AN1='Input Tables'!$BK$41, AN1='Input Tables'!$BL$41,'Input Tables'!$BM$41),('Cost Budgets'!$G$13*AN6),0)</f>
        <v>0</v>
      </c>
      <c r="AO44" s="30">
        <f>IF(OR(AO1='Input Tables'!$BA$41, AO1='Input Tables'!$BB$41,AO1='Input Tables'!$BC$41, AO1='Input Tables'!$BD$41,AO1='Input Tables'!$BE$41,AO1='Input Tables'!$BF$41,AO1='Input Tables'!$BG$41,AO1='Input Tables'!$BH$41,AO1='Input Tables'!$BI$41,AO1='Input Tables'!$BJ$41,AO1='Input Tables'!$BK$41, AO1='Input Tables'!$BL$41,'Input Tables'!$BM$41),('Cost Budgets'!$G$13*AO6),0)</f>
        <v>0</v>
      </c>
      <c r="AP44" s="30">
        <f>IF(OR(AP1='Input Tables'!$BA$41, AP1='Input Tables'!$BB$41,AP1='Input Tables'!$BC$41, AP1='Input Tables'!$BD$41,AP1='Input Tables'!$BE$41,AP1='Input Tables'!$BF$41,AP1='Input Tables'!$BG$41,AP1='Input Tables'!$BH$41,AP1='Input Tables'!$BI$41,AP1='Input Tables'!$BJ$41,AP1='Input Tables'!$BK$41, AP1='Input Tables'!$BL$41,'Input Tables'!$BM$41),('Cost Budgets'!$G$13*AP6),0)</f>
        <v>0</v>
      </c>
      <c r="AQ44" s="30">
        <f>IF(OR(AQ1='Input Tables'!$BA$41, AQ1='Input Tables'!$BB$41,AQ1='Input Tables'!$BC$41, AQ1='Input Tables'!$BD$41,AQ1='Input Tables'!$BE$41,AQ1='Input Tables'!$BF$41,AQ1='Input Tables'!$BG$41,AQ1='Input Tables'!$BH$41,AQ1='Input Tables'!$BI$41,AQ1='Input Tables'!$BJ$41,AQ1='Input Tables'!$BK$41, AQ1='Input Tables'!$BL$41,'Input Tables'!$BM$41),('Cost Budgets'!$G$13*AQ6),0)</f>
        <v>0</v>
      </c>
      <c r="AR44" s="30">
        <f>IF(OR(AR1='Input Tables'!$BA$41, AR1='Input Tables'!$BB$41,AR1='Input Tables'!$BC$41, AR1='Input Tables'!$BD$41,AR1='Input Tables'!$BE$41,AR1='Input Tables'!$BF$41,AR1='Input Tables'!$BG$41,AR1='Input Tables'!$BH$41,AR1='Input Tables'!$BI$41,AR1='Input Tables'!$BJ$41,AR1='Input Tables'!$BK$41, AR1='Input Tables'!$BL$41,'Input Tables'!$BM$41),('Cost Budgets'!$G$13*AR6),0)</f>
        <v>0</v>
      </c>
      <c r="AS44" s="30">
        <f>IF(OR(AS1='Input Tables'!$BA$41, AS1='Input Tables'!$BB$41,AS1='Input Tables'!$BC$41, AS1='Input Tables'!$BD$41,AS1='Input Tables'!$BE$41,AS1='Input Tables'!$BF$41,AS1='Input Tables'!$BG$41,AS1='Input Tables'!$BH$41,AS1='Input Tables'!$BI$41,AS1='Input Tables'!$BJ$41,AS1='Input Tables'!$BK$41, AS1='Input Tables'!$BL$41,'Input Tables'!$BM$41),('Cost Budgets'!$G$13*AS6),0)</f>
        <v>0</v>
      </c>
      <c r="AT44" s="30">
        <f>IF(OR(AT1='Input Tables'!$BA$41, AT1='Input Tables'!$BB$41,AT1='Input Tables'!$BC$41, AT1='Input Tables'!$BD$41,AT1='Input Tables'!$BE$41,AT1='Input Tables'!$BF$41,AT1='Input Tables'!$BG$41,AT1='Input Tables'!$BH$41,AT1='Input Tables'!$BI$41,AT1='Input Tables'!$BJ$41,AT1='Input Tables'!$BK$41, AT1='Input Tables'!$BL$41,'Input Tables'!$BM$41),('Cost Budgets'!$G$13*AT6),0)</f>
        <v>0</v>
      </c>
      <c r="AU44" s="30">
        <f>IF(OR(AU1='Input Tables'!$BA$41, AU1='Input Tables'!$BB$41,AU1='Input Tables'!$BC$41, AU1='Input Tables'!$BD$41,AU1='Input Tables'!$BE$41,AU1='Input Tables'!$BF$41,AU1='Input Tables'!$BG$41,AU1='Input Tables'!$BH$41,AU1='Input Tables'!$BI$41,AU1='Input Tables'!$BJ$41,AU1='Input Tables'!$BK$41, AU1='Input Tables'!$BL$41,'Input Tables'!$BM$41),('Cost Budgets'!$G$13*AU6),0)</f>
        <v>0</v>
      </c>
      <c r="AV44" s="30">
        <f>IF(OR(AV1='Input Tables'!$BA$41, AV1='Input Tables'!$BB$41,AV1='Input Tables'!$BC$41, AV1='Input Tables'!$BD$41,AV1='Input Tables'!$BE$41,AV1='Input Tables'!$BF$41,AV1='Input Tables'!$BG$41,AV1='Input Tables'!$BH$41,AV1='Input Tables'!$BI$41,AV1='Input Tables'!$BJ$41,AV1='Input Tables'!$BK$41, AV1='Input Tables'!$BL$41,'Input Tables'!$BM$41),('Cost Budgets'!$G$13*AV6),0)</f>
        <v>0</v>
      </c>
      <c r="AW44" s="30">
        <f>IF(OR(AW1='Input Tables'!$BA$41, AW1='Input Tables'!$BB$41,AW1='Input Tables'!$BC$41, AW1='Input Tables'!$BD$41,AW1='Input Tables'!$BE$41,AW1='Input Tables'!$BF$41,AW1='Input Tables'!$BG$41,AW1='Input Tables'!$BH$41,AW1='Input Tables'!$BI$41,AW1='Input Tables'!$BJ$41,AW1='Input Tables'!$BK$41, AW1='Input Tables'!$BL$41,'Input Tables'!$BM$41),('Cost Budgets'!$G$13*AW6),0)</f>
        <v>0</v>
      </c>
      <c r="AX44" s="30">
        <f>IF(OR(AX1='Input Tables'!$BA$41, AX1='Input Tables'!$BB$41,AX1='Input Tables'!$BC$41, AX1='Input Tables'!$BD$41,AX1='Input Tables'!$BE$41,AX1='Input Tables'!$BF$41,AX1='Input Tables'!$BG$41,AX1='Input Tables'!$BH$41,AX1='Input Tables'!$BI$41,AX1='Input Tables'!$BJ$41,AX1='Input Tables'!$BK$41, AX1='Input Tables'!$BL$41,'Input Tables'!$BM$41),('Cost Budgets'!$G$13*AX6),0)</f>
        <v>0</v>
      </c>
      <c r="AY44" s="30">
        <f>IF(OR(AY1='Input Tables'!$BA$41, AY1='Input Tables'!$BB$41,AY1='Input Tables'!$BC$41, AY1='Input Tables'!$BD$41,AY1='Input Tables'!$BE$41,AY1='Input Tables'!$BF$41,AY1='Input Tables'!$BG$41,AY1='Input Tables'!$BH$41,AY1='Input Tables'!$BI$41,AY1='Input Tables'!$BJ$41,AY1='Input Tables'!$BK$41, AY1='Input Tables'!$BL$41,'Input Tables'!$BM$41),('Cost Budgets'!$G$13*AY6),0)</f>
        <v>0</v>
      </c>
      <c r="AZ44" s="30">
        <f>IF(OR(AZ1='Input Tables'!$BA$41, AZ1='Input Tables'!$BB$41,AZ1='Input Tables'!$BC$41, AZ1='Input Tables'!$BD$41,AZ1='Input Tables'!$BE$41,AZ1='Input Tables'!$BF$41,AZ1='Input Tables'!$BG$41,AZ1='Input Tables'!$BH$41,AZ1='Input Tables'!$BI$41,AZ1='Input Tables'!$BJ$41,AZ1='Input Tables'!$BK$41, AZ1='Input Tables'!$BL$41,'Input Tables'!$BM$41),('Cost Budgets'!$G$13*AZ6),0)</f>
        <v>0</v>
      </c>
      <c r="BA44" s="30">
        <f>IF(OR(BA1='Input Tables'!$BA$41, BA1='Input Tables'!$BB$41,BA1='Input Tables'!$BC$41, BA1='Input Tables'!$BD$41,BA1='Input Tables'!$BE$41,BA1='Input Tables'!$BF$41,BA1='Input Tables'!$BG$41,BA1='Input Tables'!$BH$41,BA1='Input Tables'!$BI$41,BA1='Input Tables'!$BJ$41,BA1='Input Tables'!$BK$41, BA1='Input Tables'!$BL$41,'Input Tables'!$BM$41),('Cost Budgets'!$G$13*BA6),0)</f>
        <v>0</v>
      </c>
      <c r="BB44" s="30">
        <f>IF(OR(BB1='Input Tables'!$BA$41, BB1='Input Tables'!$BB$41,BB1='Input Tables'!$BC$41, BB1='Input Tables'!$BD$41,BB1='Input Tables'!$BE$41,BB1='Input Tables'!$BF$41,BB1='Input Tables'!$BG$41,BB1='Input Tables'!$BH$41,BB1='Input Tables'!$BI$41,BB1='Input Tables'!$BJ$41,BB1='Input Tables'!$BK$41, BB1='Input Tables'!$BL$41,'Input Tables'!$BM$41),('Cost Budgets'!$G$13*BB6),0)</f>
        <v>0</v>
      </c>
      <c r="BC44" s="30">
        <f>IF(OR(BC1='Input Tables'!$BA$41, BC1='Input Tables'!$BB$41,BC1='Input Tables'!$BC$41, BC1='Input Tables'!$BD$41,BC1='Input Tables'!$BE$41,BC1='Input Tables'!$BF$41,BC1='Input Tables'!$BG$41,BC1='Input Tables'!$BH$41,BC1='Input Tables'!$BI$41,BC1='Input Tables'!$BJ$41,BC1='Input Tables'!$BK$41, BC1='Input Tables'!$BL$41,'Input Tables'!$BM$41),('Cost Budgets'!$G$13*BC6),0)</f>
        <v>0</v>
      </c>
      <c r="BD44" s="30">
        <f>IF(OR(BD1='Input Tables'!$BA$41, BD1='Input Tables'!$BB$41,BD1='Input Tables'!$BC$41, BD1='Input Tables'!$BD$41,BD1='Input Tables'!$BE$41,BD1='Input Tables'!$BF$41,BD1='Input Tables'!$BG$41,BD1='Input Tables'!$BH$41,BD1='Input Tables'!$BI$41,BD1='Input Tables'!$BJ$41,BD1='Input Tables'!$BK$41, BD1='Input Tables'!$BL$41,'Input Tables'!$BM$41),('Cost Budgets'!$G$13*BD6),0)</f>
        <v>0</v>
      </c>
      <c r="BE44" s="30">
        <f>IF(OR(BE1='Input Tables'!$BA$41, BE1='Input Tables'!$BB$41,BE1='Input Tables'!$BC$41, BE1='Input Tables'!$BD$41,BE1='Input Tables'!$BE$41,BE1='Input Tables'!$BF$41,BE1='Input Tables'!$BG$41,BE1='Input Tables'!$BH$41,BE1='Input Tables'!$BI$41,BE1='Input Tables'!$BJ$41,BE1='Input Tables'!$BK$41, BE1='Input Tables'!$BL$41,'Input Tables'!$BM$41),('Cost Budgets'!$G$13*BE6),0)</f>
        <v>0</v>
      </c>
      <c r="BF44" s="30">
        <f>IF(OR(BF1='Input Tables'!$BA$41, BF1='Input Tables'!$BB$41,BF1='Input Tables'!$BC$41, BF1='Input Tables'!$BD$41,BF1='Input Tables'!$BE$41,BF1='Input Tables'!$BF$41,BF1='Input Tables'!$BG$41,BF1='Input Tables'!$BH$41,BF1='Input Tables'!$BI$41,BF1='Input Tables'!$BJ$41,BF1='Input Tables'!$BK$41, BF1='Input Tables'!$BL$41,'Input Tables'!$BM$41),('Cost Budgets'!$G$13*BF6),0)</f>
        <v>0</v>
      </c>
      <c r="BG44" s="30">
        <f>IF(OR(BG1='Input Tables'!$BA$41, BG1='Input Tables'!$BB$41,BG1='Input Tables'!$BC$41, BG1='Input Tables'!$BD$41,BG1='Input Tables'!$BE$41,BG1='Input Tables'!$BF$41,BG1='Input Tables'!$BG$41,BG1='Input Tables'!$BH$41,BG1='Input Tables'!$BI$41,BG1='Input Tables'!$BJ$41,BG1='Input Tables'!$BK$41, BG1='Input Tables'!$BL$41,'Input Tables'!$BM$41),('Cost Budgets'!$G$13*BG6),0)</f>
        <v>0</v>
      </c>
      <c r="BH44" s="30">
        <f>IF(OR(BH1='Input Tables'!$BA$41, BH1='Input Tables'!$BB$41,BH1='Input Tables'!$BC$41, BH1='Input Tables'!$BD$41,BH1='Input Tables'!$BE$41,BH1='Input Tables'!$BF$41,BH1='Input Tables'!$BG$41,BH1='Input Tables'!$BH$41,BH1='Input Tables'!$BI$41,BH1='Input Tables'!$BJ$41,BH1='Input Tables'!$BK$41, BH1='Input Tables'!$BL$41,'Input Tables'!$BM$41),('Cost Budgets'!$G$13*BH6),0)</f>
        <v>0</v>
      </c>
      <c r="BI44" s="30">
        <f>IF(OR(BI1='Input Tables'!$BA$41, BI1='Input Tables'!$BB$41,BI1='Input Tables'!$BC$41, BI1='Input Tables'!$BD$41,BI1='Input Tables'!$BE$41,BI1='Input Tables'!$BF$41,BI1='Input Tables'!$BG$41,BI1='Input Tables'!$BH$41,BI1='Input Tables'!$BI$41,BI1='Input Tables'!$BJ$41,BI1='Input Tables'!$BK$41, BI1='Input Tables'!$BL$41,'Input Tables'!$BM$41),('Cost Budgets'!$G$13*BI6),0)</f>
        <v>0</v>
      </c>
      <c r="BJ44" s="30">
        <f>IF(OR(BJ1='Input Tables'!$BA$41, BJ1='Input Tables'!$BB$41,BJ1='Input Tables'!$BC$41, BJ1='Input Tables'!$BD$41,BJ1='Input Tables'!$BE$41,BJ1='Input Tables'!$BF$41,BJ1='Input Tables'!$BG$41,BJ1='Input Tables'!$BH$41,BJ1='Input Tables'!$BI$41,BJ1='Input Tables'!$BJ$41,BJ1='Input Tables'!$BK$41, BJ1='Input Tables'!$BL$41,'Input Tables'!$BM$41),('Cost Budgets'!$G$13*BJ6),0)</f>
        <v>0</v>
      </c>
      <c r="BK44" s="30">
        <f>IF(OR(BK1='Input Tables'!$BA$41, BK1='Input Tables'!$BB$41,BK1='Input Tables'!$BC$41, BK1='Input Tables'!$BD$41,BK1='Input Tables'!$BE$41,BK1='Input Tables'!$BF$41,BK1='Input Tables'!$BG$41,BK1='Input Tables'!$BH$41,BK1='Input Tables'!$BI$41,BK1='Input Tables'!$BJ$41,BK1='Input Tables'!$BK$41, BK1='Input Tables'!$BL$41,'Input Tables'!$BM$41),('Cost Budgets'!$G$13*BK6),0)</f>
        <v>0</v>
      </c>
    </row>
    <row r="45" spans="1:63" x14ac:dyDescent="0.35">
      <c r="A45" s="188"/>
      <c r="E45" s="36"/>
    </row>
    <row r="46" spans="1:63" x14ac:dyDescent="0.35">
      <c r="A46" s="188"/>
      <c r="B46" t="s">
        <v>126</v>
      </c>
      <c r="E46" s="30">
        <f>IF(OR(E1='Input Tables'!$BA$47, E1='Input Tables'!$BB$47,E1='Input Tables'!$BC$47, E1='Input Tables'!$BD$47,E1='Input Tables'!$BE$47,E1='Input Tables'!$BF$47,E1='Input Tables'!$BG$47,E1='Input Tables'!$BH$47,E1='Input Tables'!$BI$47,E1='Input Tables'!$BJ$47,E1='Input Tables'!$BK$47, E1='Input Tables'!$BL$47,'Input Tables'!$BM$47),('Cost Budgets'!$G$14*E6),0)</f>
        <v>120</v>
      </c>
      <c r="F46" s="30">
        <f>IF(OR(F1='Input Tables'!$BA$47, F1='Input Tables'!$BB$47,F1='Input Tables'!$BC$47, F1='Input Tables'!$BD$47,F1='Input Tables'!$BE$47,F1='Input Tables'!$BF$47,F1='Input Tables'!$BG$47,F1='Input Tables'!$BH$47,F1='Input Tables'!$BI$47,F1='Input Tables'!$BJ$47,F1='Input Tables'!$BK$47, F1='Input Tables'!$BL$47,'Input Tables'!$BM$47),('Cost Budgets'!$G$14*F6),0)</f>
        <v>0</v>
      </c>
      <c r="G46" s="30">
        <f>IF(OR(G1='Input Tables'!$BA$47, G1='Input Tables'!$BB$47,G1='Input Tables'!$BC$47, G1='Input Tables'!$BD$47,G1='Input Tables'!$BE$47,G1='Input Tables'!$BF$47,G1='Input Tables'!$BG$47,G1='Input Tables'!$BH$47,G1='Input Tables'!$BI$47,G1='Input Tables'!$BJ$47,G1='Input Tables'!$BK$47, G1='Input Tables'!$BL$47,'Input Tables'!$BM$47),('Cost Budgets'!$G$14*G6),0)</f>
        <v>0</v>
      </c>
      <c r="H46" s="30">
        <f>IF(OR(H1='Input Tables'!$BA$47, H1='Input Tables'!$BB$47,H1='Input Tables'!$BC$47, H1='Input Tables'!$BD$47,H1='Input Tables'!$BE$47,H1='Input Tables'!$BF$47,H1='Input Tables'!$BG$47,H1='Input Tables'!$BH$47,H1='Input Tables'!$BI$47,H1='Input Tables'!$BJ$47,H1='Input Tables'!$BK$47, H1='Input Tables'!$BL$47,'Input Tables'!$BM$47),('Cost Budgets'!$G$14*H6),0)</f>
        <v>0</v>
      </c>
      <c r="I46" s="30">
        <f>IF(OR(I1='Input Tables'!$BA$47, I1='Input Tables'!$BB$47,I1='Input Tables'!$BC$47, I1='Input Tables'!$BD$47,I1='Input Tables'!$BE$47,I1='Input Tables'!$BF$47,I1='Input Tables'!$BG$47,I1='Input Tables'!$BH$47,I1='Input Tables'!$BI$47,I1='Input Tables'!$BJ$47,I1='Input Tables'!$BK$47, I1='Input Tables'!$BL$47,'Input Tables'!$BM$47),('Cost Budgets'!$G$14*I6),0)</f>
        <v>0</v>
      </c>
      <c r="J46" s="30">
        <f ca="1">IF(OR(J1='Input Tables'!$BA$47, J1='Input Tables'!$BB$47,J1='Input Tables'!$BC$47, J1='Input Tables'!$BD$47,J1='Input Tables'!$BE$47,J1='Input Tables'!$BF$47,J1='Input Tables'!$BG$47,J1='Input Tables'!$BH$47,J1='Input Tables'!$BI$47,J1='Input Tables'!$BJ$47,J1='Input Tables'!$BK$47, J1='Input Tables'!$BL$47,'Input Tables'!$BM$47),('Cost Budgets'!$G$14*J6),0)</f>
        <v>105.12396694214877</v>
      </c>
      <c r="K46" s="30">
        <f>IF(OR(K1='Input Tables'!$BA$47, K1='Input Tables'!$BB$47,K1='Input Tables'!$BC$47, K1='Input Tables'!$BD$47,K1='Input Tables'!$BE$47,K1='Input Tables'!$BF$47,K1='Input Tables'!$BG$47,K1='Input Tables'!$BH$47,K1='Input Tables'!$BI$47,K1='Input Tables'!$BJ$47,K1='Input Tables'!$BK$47, K1='Input Tables'!$BL$47,'Input Tables'!$BM$47),('Cost Budgets'!$G$14*K6),0)</f>
        <v>0</v>
      </c>
      <c r="L46" s="30">
        <f>IF(OR(L1='Input Tables'!$BA$47, L1='Input Tables'!$BB$47,L1='Input Tables'!$BC$47, L1='Input Tables'!$BD$47,L1='Input Tables'!$BE$47,L1='Input Tables'!$BF$47,L1='Input Tables'!$BG$47,L1='Input Tables'!$BH$47,L1='Input Tables'!$BI$47,L1='Input Tables'!$BJ$47,L1='Input Tables'!$BK$47, L1='Input Tables'!$BL$47,'Input Tables'!$BM$47),('Cost Budgets'!$G$14*L6),0)</f>
        <v>0</v>
      </c>
      <c r="M46" s="30">
        <f>IF(OR(M1='Input Tables'!$BA$47, M1='Input Tables'!$BB$47,M1='Input Tables'!$BC$47, M1='Input Tables'!$BD$47,M1='Input Tables'!$BE$47,M1='Input Tables'!$BF$47,M1='Input Tables'!$BG$47,M1='Input Tables'!$BH$47,M1='Input Tables'!$BI$47,M1='Input Tables'!$BJ$47,M1='Input Tables'!$BK$47, M1='Input Tables'!$BL$47,'Input Tables'!$BM$47),('Cost Budgets'!$G$14*M6),0)</f>
        <v>0</v>
      </c>
      <c r="N46" s="30">
        <f>IF(OR(N1='Input Tables'!$BA$47, N1='Input Tables'!$BB$47,N1='Input Tables'!$BC$47, N1='Input Tables'!$BD$47,N1='Input Tables'!$BE$47,N1='Input Tables'!$BF$47,N1='Input Tables'!$BG$47,N1='Input Tables'!$BH$47,N1='Input Tables'!$BI$47,N1='Input Tables'!$BJ$47,N1='Input Tables'!$BK$47, N1='Input Tables'!$BL$47,'Input Tables'!$BM$47),('Cost Budgets'!$G$14*N6),0)</f>
        <v>0</v>
      </c>
      <c r="O46" s="30">
        <f>IF(OR(O1='Input Tables'!$BA$47, O1='Input Tables'!$BB$47,O1='Input Tables'!$BC$47, O1='Input Tables'!$BD$47,O1='Input Tables'!$BE$47,O1='Input Tables'!$BF$47,O1='Input Tables'!$BG$47,O1='Input Tables'!$BH$47,O1='Input Tables'!$BI$47,O1='Input Tables'!$BJ$47,O1='Input Tables'!$BK$47, O1='Input Tables'!$BL$47,'Input Tables'!$BM$47),('Cost Budgets'!$G$14*O6),0)</f>
        <v>0</v>
      </c>
      <c r="P46" s="30">
        <f>IF(OR(P1='Input Tables'!$BA$47, P1='Input Tables'!$BB$47,P1='Input Tables'!$BC$47, P1='Input Tables'!$BD$47,P1='Input Tables'!$BE$47,P1='Input Tables'!$BF$47,P1='Input Tables'!$BG$47,P1='Input Tables'!$BH$47,P1='Input Tables'!$BI$47,P1='Input Tables'!$BJ$47,P1='Input Tables'!$BK$47, P1='Input Tables'!$BL$47,'Input Tables'!$BM$47),('Cost Budgets'!$G$14*P6),0)</f>
        <v>0</v>
      </c>
      <c r="Q46" s="30">
        <f>IF(OR(Q1='Input Tables'!$BA$47, Q1='Input Tables'!$BB$47,Q1='Input Tables'!$BC$47, Q1='Input Tables'!$BD$47,Q1='Input Tables'!$BE$47,Q1='Input Tables'!$BF$47,Q1='Input Tables'!$BG$47,Q1='Input Tables'!$BH$47,Q1='Input Tables'!$BI$47,Q1='Input Tables'!$BJ$47,Q1='Input Tables'!$BK$47, Q1='Input Tables'!$BL$47,'Input Tables'!$BM$47),('Cost Budgets'!$G$14*Q6),0)</f>
        <v>0</v>
      </c>
      <c r="R46" s="30">
        <f>IF(OR(R1='Input Tables'!$BA$47, R1='Input Tables'!$BB$47,R1='Input Tables'!$BC$47, R1='Input Tables'!$BD$47,R1='Input Tables'!$BE$47,R1='Input Tables'!$BF$47,R1='Input Tables'!$BG$47,R1='Input Tables'!$BH$47,R1='Input Tables'!$BI$47,R1='Input Tables'!$BJ$47,R1='Input Tables'!$BK$47, R1='Input Tables'!$BL$47,'Input Tables'!$BM$47),('Cost Budgets'!$G$14*R6),0)</f>
        <v>0</v>
      </c>
      <c r="S46" s="30">
        <f>IF(OR(S1='Input Tables'!$BA$47, S1='Input Tables'!$BB$47,S1='Input Tables'!$BC$47, S1='Input Tables'!$BD$47,S1='Input Tables'!$BE$47,S1='Input Tables'!$BF$47,S1='Input Tables'!$BG$47,S1='Input Tables'!$BH$47,S1='Input Tables'!$BI$47,S1='Input Tables'!$BJ$47,S1='Input Tables'!$BK$47, S1='Input Tables'!$BL$47,'Input Tables'!$BM$47),('Cost Budgets'!$G$14*S6),0)</f>
        <v>0</v>
      </c>
      <c r="T46" s="30">
        <f>IF(OR(T1='Input Tables'!$BA$47, T1='Input Tables'!$BB$47,T1='Input Tables'!$BC$47, T1='Input Tables'!$BD$47,T1='Input Tables'!$BE$47,T1='Input Tables'!$BF$47,T1='Input Tables'!$BG$47,T1='Input Tables'!$BH$47,T1='Input Tables'!$BI$47,T1='Input Tables'!$BJ$47,T1='Input Tables'!$BK$47, T1='Input Tables'!$BL$47,'Input Tables'!$BM$47),('Cost Budgets'!$G$14*T6),0)</f>
        <v>0</v>
      </c>
      <c r="U46" s="30">
        <f>IF(OR(U1='Input Tables'!$BA$47, U1='Input Tables'!$BB$47,U1='Input Tables'!$BC$47, U1='Input Tables'!$BD$47,U1='Input Tables'!$BE$47,U1='Input Tables'!$BF$47,U1='Input Tables'!$BG$47,U1='Input Tables'!$BH$47,U1='Input Tables'!$BI$47,U1='Input Tables'!$BJ$47,U1='Input Tables'!$BK$47, U1='Input Tables'!$BL$47,'Input Tables'!$BM$47),('Cost Budgets'!$G$14*U6),0)</f>
        <v>0</v>
      </c>
      <c r="V46" s="30">
        <f>IF(OR(V1='Input Tables'!$BA$47, V1='Input Tables'!$BB$47,V1='Input Tables'!$BC$47, V1='Input Tables'!$BD$47,V1='Input Tables'!$BE$47,V1='Input Tables'!$BF$47,V1='Input Tables'!$BG$47,V1='Input Tables'!$BH$47,V1='Input Tables'!$BI$47,V1='Input Tables'!$BJ$47,V1='Input Tables'!$BK$47, V1='Input Tables'!$BL$47,'Input Tables'!$BM$47),('Cost Budgets'!$G$14*V6),0)</f>
        <v>0</v>
      </c>
      <c r="W46" s="30">
        <f>IF(OR(W1='Input Tables'!$BA$47, W1='Input Tables'!$BB$47,W1='Input Tables'!$BC$47, W1='Input Tables'!$BD$47,W1='Input Tables'!$BE$47,W1='Input Tables'!$BF$47,W1='Input Tables'!$BG$47,W1='Input Tables'!$BH$47,W1='Input Tables'!$BI$47,W1='Input Tables'!$BJ$47,W1='Input Tables'!$BK$47, W1='Input Tables'!$BL$47,'Input Tables'!$BM$47),('Cost Budgets'!$G$14*W6),0)</f>
        <v>0</v>
      </c>
      <c r="X46" s="30">
        <f>IF(OR(X1='Input Tables'!$BA$47, X1='Input Tables'!$BB$47,X1='Input Tables'!$BC$47, X1='Input Tables'!$BD$47,X1='Input Tables'!$BE$47,X1='Input Tables'!$BF$47,X1='Input Tables'!$BG$47,X1='Input Tables'!$BH$47,X1='Input Tables'!$BI$47,X1='Input Tables'!$BJ$47,X1='Input Tables'!$BK$47, X1='Input Tables'!$BL$47,'Input Tables'!$BM$47),('Cost Budgets'!$G$14*X6),0)</f>
        <v>0</v>
      </c>
      <c r="Y46" s="30">
        <f>IF(OR(Y1='Input Tables'!$BA$47, Y1='Input Tables'!$BB$47,Y1='Input Tables'!$BC$47, Y1='Input Tables'!$BD$47,Y1='Input Tables'!$BE$47,Y1='Input Tables'!$BF$47,Y1='Input Tables'!$BG$47,Y1='Input Tables'!$BH$47,Y1='Input Tables'!$BI$47,Y1='Input Tables'!$BJ$47,Y1='Input Tables'!$BK$47, Y1='Input Tables'!$BL$47,'Input Tables'!$BM$47),('Cost Budgets'!$G$14*Y6),0)</f>
        <v>0</v>
      </c>
      <c r="Z46" s="30">
        <f>IF(OR(Z1='Input Tables'!$BA$47, Z1='Input Tables'!$BB$47,Z1='Input Tables'!$BC$47, Z1='Input Tables'!$BD$47,Z1='Input Tables'!$BE$47,Z1='Input Tables'!$BF$47,Z1='Input Tables'!$BG$47,Z1='Input Tables'!$BH$47,Z1='Input Tables'!$BI$47,Z1='Input Tables'!$BJ$47,Z1='Input Tables'!$BK$47, Z1='Input Tables'!$BL$47,'Input Tables'!$BM$47),('Cost Budgets'!$G$14*Z6),0)</f>
        <v>0</v>
      </c>
      <c r="AA46" s="30">
        <f>IF(OR(AA1='Input Tables'!$BA$47, AA1='Input Tables'!$BB$47,AA1='Input Tables'!$BC$47, AA1='Input Tables'!$BD$47,AA1='Input Tables'!$BE$47,AA1='Input Tables'!$BF$47,AA1='Input Tables'!$BG$47,AA1='Input Tables'!$BH$47,AA1='Input Tables'!$BI$47,AA1='Input Tables'!$BJ$47,AA1='Input Tables'!$BK$47, AA1='Input Tables'!$BL$47,'Input Tables'!$BM$47),('Cost Budgets'!$G$14*AA6),0)</f>
        <v>0</v>
      </c>
      <c r="AB46" s="30">
        <f>IF(OR(AB1='Input Tables'!$BA$47, AB1='Input Tables'!$BB$47,AB1='Input Tables'!$BC$47, AB1='Input Tables'!$BD$47,AB1='Input Tables'!$BE$47,AB1='Input Tables'!$BF$47,AB1='Input Tables'!$BG$47,AB1='Input Tables'!$BH$47,AB1='Input Tables'!$BI$47,AB1='Input Tables'!$BJ$47,AB1='Input Tables'!$BK$47, AB1='Input Tables'!$BL$47,'Input Tables'!$BM$47),('Cost Budgets'!$G$14*AB6),0)</f>
        <v>0</v>
      </c>
      <c r="AC46" s="30">
        <f>IF(OR(AC1='Input Tables'!$BA$47, AC1='Input Tables'!$BB$47,AC1='Input Tables'!$BC$47, AC1='Input Tables'!$BD$47,AC1='Input Tables'!$BE$47,AC1='Input Tables'!$BF$47,AC1='Input Tables'!$BG$47,AC1='Input Tables'!$BH$47,AC1='Input Tables'!$BI$47,AC1='Input Tables'!$BJ$47,AC1='Input Tables'!$BK$47, AC1='Input Tables'!$BL$47,'Input Tables'!$BM$47),('Cost Budgets'!$G$14*AC6),0)</f>
        <v>0</v>
      </c>
      <c r="AD46" s="30">
        <f>IF(OR(AD1='Input Tables'!$BA$47, AD1='Input Tables'!$BB$47,AD1='Input Tables'!$BC$47, AD1='Input Tables'!$BD$47,AD1='Input Tables'!$BE$47,AD1='Input Tables'!$BF$47,AD1='Input Tables'!$BG$47,AD1='Input Tables'!$BH$47,AD1='Input Tables'!$BI$47,AD1='Input Tables'!$BJ$47,AD1='Input Tables'!$BK$47, AD1='Input Tables'!$BL$47,'Input Tables'!$BM$47),('Cost Budgets'!$G$14*AD6),0)</f>
        <v>0</v>
      </c>
      <c r="AE46" s="30">
        <f>IF(OR(AE1='Input Tables'!$BA$47, AE1='Input Tables'!$BB$47,AE1='Input Tables'!$BC$47, AE1='Input Tables'!$BD$47,AE1='Input Tables'!$BE$47,AE1='Input Tables'!$BF$47,AE1='Input Tables'!$BG$47,AE1='Input Tables'!$BH$47,AE1='Input Tables'!$BI$47,AE1='Input Tables'!$BJ$47,AE1='Input Tables'!$BK$47, AE1='Input Tables'!$BL$47,'Input Tables'!$BM$47),('Cost Budgets'!$G$14*AE6),0)</f>
        <v>0</v>
      </c>
      <c r="AF46" s="30">
        <f>IF(OR(AF1='Input Tables'!$BA$47, AF1='Input Tables'!$BB$47,AF1='Input Tables'!$BC$47, AF1='Input Tables'!$BD$47,AF1='Input Tables'!$BE$47,AF1='Input Tables'!$BF$47,AF1='Input Tables'!$BG$47,AF1='Input Tables'!$BH$47,AF1='Input Tables'!$BI$47,AF1='Input Tables'!$BJ$47,AF1='Input Tables'!$BK$47, AF1='Input Tables'!$BL$47,'Input Tables'!$BM$47),('Cost Budgets'!$G$14*AF6),0)</f>
        <v>0</v>
      </c>
      <c r="AG46" s="30">
        <f>IF(OR(AG1='Input Tables'!$BA$47, AG1='Input Tables'!$BB$47,AG1='Input Tables'!$BC$47, AG1='Input Tables'!$BD$47,AG1='Input Tables'!$BE$47,AG1='Input Tables'!$BF$47,AG1='Input Tables'!$BG$47,AG1='Input Tables'!$BH$47,AG1='Input Tables'!$BI$47,AG1='Input Tables'!$BJ$47,AG1='Input Tables'!$BK$47, AG1='Input Tables'!$BL$47,'Input Tables'!$BM$47),('Cost Budgets'!$G$14*AG6),0)</f>
        <v>0</v>
      </c>
      <c r="AH46" s="30">
        <f>IF(OR(AH1='Input Tables'!$BA$47, AH1='Input Tables'!$BB$47,AH1='Input Tables'!$BC$47, AH1='Input Tables'!$BD$47,AH1='Input Tables'!$BE$47,AH1='Input Tables'!$BF$47,AH1='Input Tables'!$BG$47,AH1='Input Tables'!$BH$47,AH1='Input Tables'!$BI$47,AH1='Input Tables'!$BJ$47,AH1='Input Tables'!$BK$47, AH1='Input Tables'!$BL$47,'Input Tables'!$BM$47),('Cost Budgets'!$G$14*AH6),0)</f>
        <v>0</v>
      </c>
      <c r="AI46" s="30">
        <f>IF(OR(AI1='Input Tables'!$BA$47, AI1='Input Tables'!$BB$47,AI1='Input Tables'!$BC$47, AI1='Input Tables'!$BD$47,AI1='Input Tables'!$BE$47,AI1='Input Tables'!$BF$47,AI1='Input Tables'!$BG$47,AI1='Input Tables'!$BH$47,AI1='Input Tables'!$BI$47,AI1='Input Tables'!$BJ$47,AI1='Input Tables'!$BK$47, AI1='Input Tables'!$BL$47,'Input Tables'!$BM$47),('Cost Budgets'!$G$14*AI6),0)</f>
        <v>0</v>
      </c>
      <c r="AJ46" s="30">
        <f>IF(OR(AJ1='Input Tables'!$BA$47, AJ1='Input Tables'!$BB$47,AJ1='Input Tables'!$BC$47, AJ1='Input Tables'!$BD$47,AJ1='Input Tables'!$BE$47,AJ1='Input Tables'!$BF$47,AJ1='Input Tables'!$BG$47,AJ1='Input Tables'!$BH$47,AJ1='Input Tables'!$BI$47,AJ1='Input Tables'!$BJ$47,AJ1='Input Tables'!$BK$47, AJ1='Input Tables'!$BL$47,'Input Tables'!$BM$47),('Cost Budgets'!$G$14*AJ6),0)</f>
        <v>0</v>
      </c>
      <c r="AK46" s="30">
        <f>IF(OR(AK1='Input Tables'!$BA$47, AK1='Input Tables'!$BB$47,AK1='Input Tables'!$BC$47, AK1='Input Tables'!$BD$47,AK1='Input Tables'!$BE$47,AK1='Input Tables'!$BF$47,AK1='Input Tables'!$BG$47,AK1='Input Tables'!$BH$47,AK1='Input Tables'!$BI$47,AK1='Input Tables'!$BJ$47,AK1='Input Tables'!$BK$47, AK1='Input Tables'!$BL$47,'Input Tables'!$BM$47),('Cost Budgets'!$G$14*AK6),0)</f>
        <v>0</v>
      </c>
      <c r="AL46" s="30">
        <f>IF(OR(AL1='Input Tables'!$BA$47, AL1='Input Tables'!$BB$47,AL1='Input Tables'!$BC$47, AL1='Input Tables'!$BD$47,AL1='Input Tables'!$BE$47,AL1='Input Tables'!$BF$47,AL1='Input Tables'!$BG$47,AL1='Input Tables'!$BH$47,AL1='Input Tables'!$BI$47,AL1='Input Tables'!$BJ$47,AL1='Input Tables'!$BK$47, AL1='Input Tables'!$BL$47,'Input Tables'!$BM$47),('Cost Budgets'!$G$14*AL6),0)</f>
        <v>0</v>
      </c>
      <c r="AM46" s="30">
        <f>IF(OR(AM1='Input Tables'!$BA$47, AM1='Input Tables'!$BB$47,AM1='Input Tables'!$BC$47, AM1='Input Tables'!$BD$47,AM1='Input Tables'!$BE$47,AM1='Input Tables'!$BF$47,AM1='Input Tables'!$BG$47,AM1='Input Tables'!$BH$47,AM1='Input Tables'!$BI$47,AM1='Input Tables'!$BJ$47,AM1='Input Tables'!$BK$47, AM1='Input Tables'!$BL$47,'Input Tables'!$BM$47),('Cost Budgets'!$G$14*AM6),0)</f>
        <v>0</v>
      </c>
      <c r="AN46" s="30">
        <f>IF(OR(AN1='Input Tables'!$BA$47, AN1='Input Tables'!$BB$47,AN1='Input Tables'!$BC$47, AN1='Input Tables'!$BD$47,AN1='Input Tables'!$BE$47,AN1='Input Tables'!$BF$47,AN1='Input Tables'!$BG$47,AN1='Input Tables'!$BH$47,AN1='Input Tables'!$BI$47,AN1='Input Tables'!$BJ$47,AN1='Input Tables'!$BK$47, AN1='Input Tables'!$BL$47,'Input Tables'!$BM$47),('Cost Budgets'!$G$14*AN6),0)</f>
        <v>0</v>
      </c>
      <c r="AO46" s="30">
        <f>IF(OR(AO1='Input Tables'!$BA$47, AO1='Input Tables'!$BB$47,AO1='Input Tables'!$BC$47, AO1='Input Tables'!$BD$47,AO1='Input Tables'!$BE$47,AO1='Input Tables'!$BF$47,AO1='Input Tables'!$BG$47,AO1='Input Tables'!$BH$47,AO1='Input Tables'!$BI$47,AO1='Input Tables'!$BJ$47,AO1='Input Tables'!$BK$47, AO1='Input Tables'!$BL$47,'Input Tables'!$BM$47),('Cost Budgets'!$G$14*AO6),0)</f>
        <v>0</v>
      </c>
      <c r="AP46" s="30">
        <f>IF(OR(AP1='Input Tables'!$BA$47, AP1='Input Tables'!$BB$47,AP1='Input Tables'!$BC$47, AP1='Input Tables'!$BD$47,AP1='Input Tables'!$BE$47,AP1='Input Tables'!$BF$47,AP1='Input Tables'!$BG$47,AP1='Input Tables'!$BH$47,AP1='Input Tables'!$BI$47,AP1='Input Tables'!$BJ$47,AP1='Input Tables'!$BK$47, AP1='Input Tables'!$BL$47,'Input Tables'!$BM$47),('Cost Budgets'!$G$14*AP6),0)</f>
        <v>0</v>
      </c>
      <c r="AQ46" s="30">
        <f>IF(OR(AQ1='Input Tables'!$BA$47, AQ1='Input Tables'!$BB$47,AQ1='Input Tables'!$BC$47, AQ1='Input Tables'!$BD$47,AQ1='Input Tables'!$BE$47,AQ1='Input Tables'!$BF$47,AQ1='Input Tables'!$BG$47,AQ1='Input Tables'!$BH$47,AQ1='Input Tables'!$BI$47,AQ1='Input Tables'!$BJ$47,AQ1='Input Tables'!$BK$47, AQ1='Input Tables'!$BL$47,'Input Tables'!$BM$47),('Cost Budgets'!$G$14*AQ6),0)</f>
        <v>0</v>
      </c>
      <c r="AR46" s="30">
        <f>IF(OR(AR1='Input Tables'!$BA$47, AR1='Input Tables'!$BB$47,AR1='Input Tables'!$BC$47, AR1='Input Tables'!$BD$47,AR1='Input Tables'!$BE$47,AR1='Input Tables'!$BF$47,AR1='Input Tables'!$BG$47,AR1='Input Tables'!$BH$47,AR1='Input Tables'!$BI$47,AR1='Input Tables'!$BJ$47,AR1='Input Tables'!$BK$47, AR1='Input Tables'!$BL$47,'Input Tables'!$BM$47),('Cost Budgets'!$G$14*AR6),0)</f>
        <v>0</v>
      </c>
      <c r="AS46" s="30">
        <f>IF(OR(AS1='Input Tables'!$BA$47, AS1='Input Tables'!$BB$47,AS1='Input Tables'!$BC$47, AS1='Input Tables'!$BD$47,AS1='Input Tables'!$BE$47,AS1='Input Tables'!$BF$47,AS1='Input Tables'!$BG$47,AS1='Input Tables'!$BH$47,AS1='Input Tables'!$BI$47,AS1='Input Tables'!$BJ$47,AS1='Input Tables'!$BK$47, AS1='Input Tables'!$BL$47,'Input Tables'!$BM$47),('Cost Budgets'!$G$14*AS6),0)</f>
        <v>0</v>
      </c>
      <c r="AT46" s="30">
        <f>IF(OR(AT1='Input Tables'!$BA$47, AT1='Input Tables'!$BB$47,AT1='Input Tables'!$BC$47, AT1='Input Tables'!$BD$47,AT1='Input Tables'!$BE$47,AT1='Input Tables'!$BF$47,AT1='Input Tables'!$BG$47,AT1='Input Tables'!$BH$47,AT1='Input Tables'!$BI$47,AT1='Input Tables'!$BJ$47,AT1='Input Tables'!$BK$47, AT1='Input Tables'!$BL$47,'Input Tables'!$BM$47),('Cost Budgets'!$G$14*AT6),0)</f>
        <v>0</v>
      </c>
      <c r="AU46" s="30">
        <f>IF(OR(AU1='Input Tables'!$BA$47, AU1='Input Tables'!$BB$47,AU1='Input Tables'!$BC$47, AU1='Input Tables'!$BD$47,AU1='Input Tables'!$BE$47,AU1='Input Tables'!$BF$47,AU1='Input Tables'!$BG$47,AU1='Input Tables'!$BH$47,AU1='Input Tables'!$BI$47,AU1='Input Tables'!$BJ$47,AU1='Input Tables'!$BK$47, AU1='Input Tables'!$BL$47,'Input Tables'!$BM$47),('Cost Budgets'!$G$14*AU6),0)</f>
        <v>0</v>
      </c>
      <c r="AV46" s="30">
        <f>IF(OR(AV1='Input Tables'!$BA$47, AV1='Input Tables'!$BB$47,AV1='Input Tables'!$BC$47, AV1='Input Tables'!$BD$47,AV1='Input Tables'!$BE$47,AV1='Input Tables'!$BF$47,AV1='Input Tables'!$BG$47,AV1='Input Tables'!$BH$47,AV1='Input Tables'!$BI$47,AV1='Input Tables'!$BJ$47,AV1='Input Tables'!$BK$47, AV1='Input Tables'!$BL$47,'Input Tables'!$BM$47),('Cost Budgets'!$G$14*AV6),0)</f>
        <v>0</v>
      </c>
      <c r="AW46" s="30">
        <f>IF(OR(AW1='Input Tables'!$BA$47, AW1='Input Tables'!$BB$47,AW1='Input Tables'!$BC$47, AW1='Input Tables'!$BD$47,AW1='Input Tables'!$BE$47,AW1='Input Tables'!$BF$47,AW1='Input Tables'!$BG$47,AW1='Input Tables'!$BH$47,AW1='Input Tables'!$BI$47,AW1='Input Tables'!$BJ$47,AW1='Input Tables'!$BK$47, AW1='Input Tables'!$BL$47,'Input Tables'!$BM$47),('Cost Budgets'!$G$14*AW6),0)</f>
        <v>0</v>
      </c>
      <c r="AX46" s="30">
        <f>IF(OR(AX1='Input Tables'!$BA$47, AX1='Input Tables'!$BB$47,AX1='Input Tables'!$BC$47, AX1='Input Tables'!$BD$47,AX1='Input Tables'!$BE$47,AX1='Input Tables'!$BF$47,AX1='Input Tables'!$BG$47,AX1='Input Tables'!$BH$47,AX1='Input Tables'!$BI$47,AX1='Input Tables'!$BJ$47,AX1='Input Tables'!$BK$47, AX1='Input Tables'!$BL$47,'Input Tables'!$BM$47),('Cost Budgets'!$G$14*AX6),0)</f>
        <v>0</v>
      </c>
      <c r="AY46" s="30">
        <f>IF(OR(AY1='Input Tables'!$BA$47, AY1='Input Tables'!$BB$47,AY1='Input Tables'!$BC$47, AY1='Input Tables'!$BD$47,AY1='Input Tables'!$BE$47,AY1='Input Tables'!$BF$47,AY1='Input Tables'!$BG$47,AY1='Input Tables'!$BH$47,AY1='Input Tables'!$BI$47,AY1='Input Tables'!$BJ$47,AY1='Input Tables'!$BK$47, AY1='Input Tables'!$BL$47,'Input Tables'!$BM$47),('Cost Budgets'!$G$14*AY6),0)</f>
        <v>0</v>
      </c>
      <c r="AZ46" s="30">
        <f>IF(OR(AZ1='Input Tables'!$BA$47, AZ1='Input Tables'!$BB$47,AZ1='Input Tables'!$BC$47, AZ1='Input Tables'!$BD$47,AZ1='Input Tables'!$BE$47,AZ1='Input Tables'!$BF$47,AZ1='Input Tables'!$BG$47,AZ1='Input Tables'!$BH$47,AZ1='Input Tables'!$BI$47,AZ1='Input Tables'!$BJ$47,AZ1='Input Tables'!$BK$47, AZ1='Input Tables'!$BL$47,'Input Tables'!$BM$47),('Cost Budgets'!$G$14*AZ6),0)</f>
        <v>0</v>
      </c>
      <c r="BA46" s="30">
        <f>IF(OR(BA1='Input Tables'!$BA$47, BA1='Input Tables'!$BB$47,BA1='Input Tables'!$BC$47, BA1='Input Tables'!$BD$47,BA1='Input Tables'!$BE$47,BA1='Input Tables'!$BF$47,BA1='Input Tables'!$BG$47,BA1='Input Tables'!$BH$47,BA1='Input Tables'!$BI$47,BA1='Input Tables'!$BJ$47,BA1='Input Tables'!$BK$47, BA1='Input Tables'!$BL$47,'Input Tables'!$BM$47),('Cost Budgets'!$G$14*BA6),0)</f>
        <v>0</v>
      </c>
      <c r="BB46" s="30">
        <f>IF(OR(BB1='Input Tables'!$BA$47, BB1='Input Tables'!$BB$47,BB1='Input Tables'!$BC$47, BB1='Input Tables'!$BD$47,BB1='Input Tables'!$BE$47,BB1='Input Tables'!$BF$47,BB1='Input Tables'!$BG$47,BB1='Input Tables'!$BH$47,BB1='Input Tables'!$BI$47,BB1='Input Tables'!$BJ$47,BB1='Input Tables'!$BK$47, BB1='Input Tables'!$BL$47,'Input Tables'!$BM$47),('Cost Budgets'!$G$14*BB6),0)</f>
        <v>0</v>
      </c>
      <c r="BC46" s="30">
        <f>IF(OR(BC1='Input Tables'!$BA$47, BC1='Input Tables'!$BB$47,BC1='Input Tables'!$BC$47, BC1='Input Tables'!$BD$47,BC1='Input Tables'!$BE$47,BC1='Input Tables'!$BF$47,BC1='Input Tables'!$BG$47,BC1='Input Tables'!$BH$47,BC1='Input Tables'!$BI$47,BC1='Input Tables'!$BJ$47,BC1='Input Tables'!$BK$47, BC1='Input Tables'!$BL$47,'Input Tables'!$BM$47),('Cost Budgets'!$G$14*BC6),0)</f>
        <v>0</v>
      </c>
      <c r="BD46" s="30">
        <f>IF(OR(BD1='Input Tables'!$BA$47, BD1='Input Tables'!$BB$47,BD1='Input Tables'!$BC$47, BD1='Input Tables'!$BD$47,BD1='Input Tables'!$BE$47,BD1='Input Tables'!$BF$47,BD1='Input Tables'!$BG$47,BD1='Input Tables'!$BH$47,BD1='Input Tables'!$BI$47,BD1='Input Tables'!$BJ$47,BD1='Input Tables'!$BK$47, BD1='Input Tables'!$BL$47,'Input Tables'!$BM$47),('Cost Budgets'!$G$14*BD6),0)</f>
        <v>0</v>
      </c>
      <c r="BE46" s="30">
        <f>IF(OR(BE1='Input Tables'!$BA$47, BE1='Input Tables'!$BB$47,BE1='Input Tables'!$BC$47, BE1='Input Tables'!$BD$47,BE1='Input Tables'!$BE$47,BE1='Input Tables'!$BF$47,BE1='Input Tables'!$BG$47,BE1='Input Tables'!$BH$47,BE1='Input Tables'!$BI$47,BE1='Input Tables'!$BJ$47,BE1='Input Tables'!$BK$47, BE1='Input Tables'!$BL$47,'Input Tables'!$BM$47),('Cost Budgets'!$G$14*BE6),0)</f>
        <v>0</v>
      </c>
      <c r="BF46" s="30">
        <f>IF(OR(BF1='Input Tables'!$BA$47, BF1='Input Tables'!$BB$47,BF1='Input Tables'!$BC$47, BF1='Input Tables'!$BD$47,BF1='Input Tables'!$BE$47,BF1='Input Tables'!$BF$47,BF1='Input Tables'!$BG$47,BF1='Input Tables'!$BH$47,BF1='Input Tables'!$BI$47,BF1='Input Tables'!$BJ$47,BF1='Input Tables'!$BK$47, BF1='Input Tables'!$BL$47,'Input Tables'!$BM$47),('Cost Budgets'!$G$14*BF6),0)</f>
        <v>0</v>
      </c>
      <c r="BG46" s="30">
        <f>IF(OR(BG1='Input Tables'!$BA$47, BG1='Input Tables'!$BB$47,BG1='Input Tables'!$BC$47, BG1='Input Tables'!$BD$47,BG1='Input Tables'!$BE$47,BG1='Input Tables'!$BF$47,BG1='Input Tables'!$BG$47,BG1='Input Tables'!$BH$47,BG1='Input Tables'!$BI$47,BG1='Input Tables'!$BJ$47,BG1='Input Tables'!$BK$47, BG1='Input Tables'!$BL$47,'Input Tables'!$BM$47),('Cost Budgets'!$G$14*BG6),0)</f>
        <v>0</v>
      </c>
      <c r="BH46" s="30">
        <f>IF(OR(BH1='Input Tables'!$BA$47, BH1='Input Tables'!$BB$47,BH1='Input Tables'!$BC$47, BH1='Input Tables'!$BD$47,BH1='Input Tables'!$BE$47,BH1='Input Tables'!$BF$47,BH1='Input Tables'!$BG$47,BH1='Input Tables'!$BH$47,BH1='Input Tables'!$BI$47,BH1='Input Tables'!$BJ$47,BH1='Input Tables'!$BK$47, BH1='Input Tables'!$BL$47,'Input Tables'!$BM$47),('Cost Budgets'!$G$14*BH6),0)</f>
        <v>0</v>
      </c>
      <c r="BI46" s="30">
        <f>IF(OR(BI1='Input Tables'!$BA$47, BI1='Input Tables'!$BB$47,BI1='Input Tables'!$BC$47, BI1='Input Tables'!$BD$47,BI1='Input Tables'!$BE$47,BI1='Input Tables'!$BF$47,BI1='Input Tables'!$BG$47,BI1='Input Tables'!$BH$47,BI1='Input Tables'!$BI$47,BI1='Input Tables'!$BJ$47,BI1='Input Tables'!$BK$47, BI1='Input Tables'!$BL$47,'Input Tables'!$BM$47),('Cost Budgets'!$G$14*BI6),0)</f>
        <v>0</v>
      </c>
      <c r="BJ46" s="30">
        <f>IF(OR(BJ1='Input Tables'!$BA$47, BJ1='Input Tables'!$BB$47,BJ1='Input Tables'!$BC$47, BJ1='Input Tables'!$BD$47,BJ1='Input Tables'!$BE$47,BJ1='Input Tables'!$BF$47,BJ1='Input Tables'!$BG$47,BJ1='Input Tables'!$BH$47,BJ1='Input Tables'!$BI$47,BJ1='Input Tables'!$BJ$47,BJ1='Input Tables'!$BK$47, BJ1='Input Tables'!$BL$47,'Input Tables'!$BM$47),('Cost Budgets'!$G$14*BJ6),0)</f>
        <v>0</v>
      </c>
      <c r="BK46" s="30">
        <f>IF(OR(BK1='Input Tables'!$BA$47, BK1='Input Tables'!$BB$47,BK1='Input Tables'!$BC$47, BK1='Input Tables'!$BD$47,BK1='Input Tables'!$BE$47,BK1='Input Tables'!$BF$47,BK1='Input Tables'!$BG$47,BK1='Input Tables'!$BH$47,BK1='Input Tables'!$BI$47,BK1='Input Tables'!$BJ$47,BK1='Input Tables'!$BK$47, BK1='Input Tables'!$BL$47,'Input Tables'!$BM$47),('Cost Budgets'!$G$14*BK6),0)</f>
        <v>0</v>
      </c>
    </row>
    <row r="47" spans="1:63" x14ac:dyDescent="0.35">
      <c r="A47" s="188"/>
    </row>
    <row r="48" spans="1:63" x14ac:dyDescent="0.35">
      <c r="A48" s="188"/>
      <c r="B48" t="s">
        <v>70</v>
      </c>
      <c r="E48" s="30">
        <f>IF(OR(E1='Input Tables'!$BA$54, E1='Input Tables'!$BB$54,E1='Input Tables'!$BC$54, E1='Input Tables'!$BD$54,E1='Input Tables'!$BE$54,E1='Input Tables'!$BF$54,E1='Input Tables'!$BG$54,E1='Input Tables'!$BH$54,E1='Input Tables'!$BI$54,E1='Input Tables'!$BJ$54,E1='Input Tables'!$BK$54, E1='Input Tables'!$BL$54,'Input Tables'!$BM$54),('Cost Budgets'!$G$15*E6),0)</f>
        <v>0</v>
      </c>
      <c r="F48" s="30">
        <f>IF(OR(F1='Input Tables'!$BA$54, F1='Input Tables'!$BB$54,F1='Input Tables'!$BC$54, F1='Input Tables'!$BD$54,F1='Input Tables'!$BE$54,F1='Input Tables'!$BF$54,F1='Input Tables'!$BG$54,F1='Input Tables'!$BH$54,F1='Input Tables'!$BI$54,F1='Input Tables'!$BJ$54,F1='Input Tables'!$BK$54, F1='Input Tables'!$BL$54,'Input Tables'!$BM$54),('Cost Budgets'!$G$15*F6),0)</f>
        <v>0</v>
      </c>
      <c r="G48" s="30">
        <f>IF(OR(G1='Input Tables'!$BA$54, G1='Input Tables'!$BB$54,G1='Input Tables'!$BC$54, G1='Input Tables'!$BD$54,G1='Input Tables'!$BE$54,G1='Input Tables'!$BF$54,G1='Input Tables'!$BG$54,G1='Input Tables'!$BH$54,G1='Input Tables'!$BI$54,G1='Input Tables'!$BJ$54,G1='Input Tables'!$BK$54, G1='Input Tables'!$BL$54,'Input Tables'!$BM$54),('Cost Budgets'!$G$15*G6),0)</f>
        <v>0</v>
      </c>
      <c r="H48" s="30">
        <f ca="1">IF(OR(H1='Input Tables'!$BA$54, H1='Input Tables'!$BB$54,H1='Input Tables'!$BC$54, H1='Input Tables'!$BD$54,H1='Input Tables'!$BE$54,H1='Input Tables'!$BF$54,H1='Input Tables'!$BG$54,H1='Input Tables'!$BH$54,H1='Input Tables'!$BI$54,H1='Input Tables'!$BJ$54,H1='Input Tables'!$BK$54, H1='Input Tables'!$BL$54,'Input Tables'!$BM$54),('Cost Budgets'!$G$15*H6),0)</f>
        <v>9.0192396694214878</v>
      </c>
      <c r="I48" s="30">
        <f>IF(OR(I1='Input Tables'!$BA$54, I1='Input Tables'!$BB$54,I1='Input Tables'!$BC$54, I1='Input Tables'!$BD$54,I1='Input Tables'!$BE$54,I1='Input Tables'!$BF$54,I1='Input Tables'!$BG$54,I1='Input Tables'!$BH$54,I1='Input Tables'!$BI$54,I1='Input Tables'!$BJ$54,I1='Input Tables'!$BK$54, I1='Input Tables'!$BL$54,'Input Tables'!$BM$54),('Cost Budgets'!$G$15*I6),0)</f>
        <v>0</v>
      </c>
      <c r="J48" s="30">
        <f>IF(OR(J1='Input Tables'!$BA$54, J1='Input Tables'!$BB$54,J1='Input Tables'!$BC$54, J1='Input Tables'!$BD$54,J1='Input Tables'!$BE$54,J1='Input Tables'!$BF$54,J1='Input Tables'!$BG$54,J1='Input Tables'!$BH$54,J1='Input Tables'!$BI$54,J1='Input Tables'!$BJ$54,J1='Input Tables'!$BK$54, J1='Input Tables'!$BL$54,'Input Tables'!$BM$54),('Cost Budgets'!$G$15*J6),0)</f>
        <v>0</v>
      </c>
      <c r="K48" s="30">
        <f ca="1">IF(OR(K1='Input Tables'!$BA$54, K1='Input Tables'!$BB$54,K1='Input Tables'!$BC$54, K1='Input Tables'!$BD$54,K1='Input Tables'!$BE$54,K1='Input Tables'!$BF$54,K1='Input Tables'!$BG$54,K1='Input Tables'!$BH$54,K1='Input Tables'!$BI$54,K1='Input Tables'!$BJ$54,K1='Input Tables'!$BK$54, K1='Input Tables'!$BL$54,'Input Tables'!$BM$54),('Cost Budgets'!$G$15*K6),0)</f>
        <v>8.047338842975206</v>
      </c>
      <c r="L48" s="30">
        <f>IF(OR(L1='Input Tables'!$BA$54, L1='Input Tables'!$BB$54,L1='Input Tables'!$BC$54, L1='Input Tables'!$BD$54,L1='Input Tables'!$BE$54,L1='Input Tables'!$BF$54,L1='Input Tables'!$BG$54,L1='Input Tables'!$BH$54,L1='Input Tables'!$BI$54,L1='Input Tables'!$BJ$54,L1='Input Tables'!$BK$54, L1='Input Tables'!$BL$54,'Input Tables'!$BM$54),('Cost Budgets'!$G$15*L6),0)</f>
        <v>0</v>
      </c>
      <c r="M48" s="30">
        <f>IF(OR(M1='Input Tables'!$BA$54, M1='Input Tables'!$BB$54,M1='Input Tables'!$BC$54, M1='Input Tables'!$BD$54,M1='Input Tables'!$BE$54,M1='Input Tables'!$BF$54,M1='Input Tables'!$BG$54,M1='Input Tables'!$BH$54,M1='Input Tables'!$BI$54,M1='Input Tables'!$BJ$54,M1='Input Tables'!$BK$54, M1='Input Tables'!$BL$54,'Input Tables'!$BM$54),('Cost Budgets'!$G$15*M6),0)</f>
        <v>0</v>
      </c>
      <c r="N48" s="30">
        <f ca="1">IF(OR(N1='Input Tables'!$BA$54, N1='Input Tables'!$BB$54,N1='Input Tables'!$BC$54, N1='Input Tables'!$BD$54,N1='Input Tables'!$BE$54,N1='Input Tables'!$BF$54,N1='Input Tables'!$BG$54,N1='Input Tables'!$BH$54,N1='Input Tables'!$BI$54,N1='Input Tables'!$BJ$54,N1='Input Tables'!$BK$54, N1='Input Tables'!$BL$54,'Input Tables'!$BM$54),('Cost Budgets'!$G$15*N6),0)</f>
        <v>6.8810578512396692</v>
      </c>
      <c r="O48" s="30">
        <f>IF(OR(O1='Input Tables'!$BA$54, O1='Input Tables'!$BB$54,O1='Input Tables'!$BC$54, O1='Input Tables'!$BD$54,O1='Input Tables'!$BE$54,O1='Input Tables'!$BF$54,O1='Input Tables'!$BG$54,O1='Input Tables'!$BH$54,O1='Input Tables'!$BI$54,O1='Input Tables'!$BJ$54,O1='Input Tables'!$BK$54, O1='Input Tables'!$BL$54,'Input Tables'!$BM$54),('Cost Budgets'!$G$15*O6),0)</f>
        <v>0</v>
      </c>
      <c r="P48" s="30">
        <f>IF(OR(P1='Input Tables'!$BA$54, P1='Input Tables'!$BB$54,P1='Input Tables'!$BC$54, P1='Input Tables'!$BD$54,P1='Input Tables'!$BE$54,P1='Input Tables'!$BF$54,P1='Input Tables'!$BG$54,P1='Input Tables'!$BH$54,P1='Input Tables'!$BI$54,P1='Input Tables'!$BJ$54,P1='Input Tables'!$BK$54, P1='Input Tables'!$BL$54,'Input Tables'!$BM$54),('Cost Budgets'!$G$15*P6),0)</f>
        <v>0</v>
      </c>
      <c r="Q48" s="30">
        <f ca="1">IF(OR(Q1='Input Tables'!$BA$54, Q1='Input Tables'!$BB$54,Q1='Input Tables'!$BC$54, Q1='Input Tables'!$BD$54,Q1='Input Tables'!$BE$54,Q1='Input Tables'!$BF$54,Q1='Input Tables'!$BG$54,Q1='Input Tables'!$BH$54,Q1='Input Tables'!$BI$54,Q1='Input Tables'!$BJ$54,Q1='Input Tables'!$BK$54, Q1='Input Tables'!$BL$54,'Input Tables'!$BM$54),('Cost Budgets'!$G$15*Q6),0)</f>
        <v>6.8810578512396692</v>
      </c>
      <c r="R48" s="30">
        <f>IF(OR(R1='Input Tables'!$BA$54, R1='Input Tables'!$BB$54,R1='Input Tables'!$BC$54, R1='Input Tables'!$BD$54,R1='Input Tables'!$BE$54,R1='Input Tables'!$BF$54,R1='Input Tables'!$BG$54,R1='Input Tables'!$BH$54,R1='Input Tables'!$BI$54,R1='Input Tables'!$BJ$54,R1='Input Tables'!$BK$54, R1='Input Tables'!$BL$54,'Input Tables'!$BM$54),('Cost Budgets'!$G$15*R6),0)</f>
        <v>0</v>
      </c>
      <c r="S48" s="30">
        <f>IF(OR(S1='Input Tables'!$BA$54, S1='Input Tables'!$BB$54,S1='Input Tables'!$BC$54, S1='Input Tables'!$BD$54,S1='Input Tables'!$BE$54,S1='Input Tables'!$BF$54,S1='Input Tables'!$BG$54,S1='Input Tables'!$BH$54,S1='Input Tables'!$BI$54,S1='Input Tables'!$BJ$54,S1='Input Tables'!$BK$54, S1='Input Tables'!$BL$54,'Input Tables'!$BM$54),('Cost Budgets'!$G$15*S6),0)</f>
        <v>0</v>
      </c>
      <c r="T48" s="30">
        <f>IF(OR(T1='Input Tables'!$BA$54, T1='Input Tables'!$BB$54,T1='Input Tables'!$BC$54, T1='Input Tables'!$BD$54,T1='Input Tables'!$BE$54,T1='Input Tables'!$BF$54,T1='Input Tables'!$BG$54,T1='Input Tables'!$BH$54,T1='Input Tables'!$BI$54,T1='Input Tables'!$BJ$54,T1='Input Tables'!$BK$54, T1='Input Tables'!$BL$54,'Input Tables'!$BM$54),('Cost Budgets'!$G$15*T6),0)</f>
        <v>0</v>
      </c>
      <c r="U48" s="30">
        <f>IF(OR(U1='Input Tables'!$BA$54, U1='Input Tables'!$BB$54,U1='Input Tables'!$BC$54, U1='Input Tables'!$BD$54,U1='Input Tables'!$BE$54,U1='Input Tables'!$BF$54,U1='Input Tables'!$BG$54,U1='Input Tables'!$BH$54,U1='Input Tables'!$BI$54,U1='Input Tables'!$BJ$54,U1='Input Tables'!$BK$54, U1='Input Tables'!$BL$54,'Input Tables'!$BM$54),('Cost Budgets'!$G$15*U6),0)</f>
        <v>0</v>
      </c>
      <c r="V48" s="30">
        <f>IF(OR(V1='Input Tables'!$BA$54, V1='Input Tables'!$BB$54,V1='Input Tables'!$BC$54, V1='Input Tables'!$BD$54,V1='Input Tables'!$BE$54,V1='Input Tables'!$BF$54,V1='Input Tables'!$BG$54,V1='Input Tables'!$BH$54,V1='Input Tables'!$BI$54,V1='Input Tables'!$BJ$54,V1='Input Tables'!$BK$54, V1='Input Tables'!$BL$54,'Input Tables'!$BM$54),('Cost Budgets'!$G$15*V6),0)</f>
        <v>0</v>
      </c>
      <c r="W48" s="30">
        <f>IF(OR(W1='Input Tables'!$BA$54, W1='Input Tables'!$BB$54,W1='Input Tables'!$BC$54, W1='Input Tables'!$BD$54,W1='Input Tables'!$BE$54,W1='Input Tables'!$BF$54,W1='Input Tables'!$BG$54,W1='Input Tables'!$BH$54,W1='Input Tables'!$BI$54,W1='Input Tables'!$BJ$54,W1='Input Tables'!$BK$54, W1='Input Tables'!$BL$54,'Input Tables'!$BM$54),('Cost Budgets'!$G$15*W6),0)</f>
        <v>0</v>
      </c>
      <c r="X48" s="30">
        <f>IF(OR(X1='Input Tables'!$BA$54, X1='Input Tables'!$BB$54,X1='Input Tables'!$BC$54, X1='Input Tables'!$BD$54,X1='Input Tables'!$BE$54,X1='Input Tables'!$BF$54,X1='Input Tables'!$BG$54,X1='Input Tables'!$BH$54,X1='Input Tables'!$BI$54,X1='Input Tables'!$BJ$54,X1='Input Tables'!$BK$54, X1='Input Tables'!$BL$54,'Input Tables'!$BM$54),('Cost Budgets'!$G$15*X6),0)</f>
        <v>0</v>
      </c>
      <c r="Y48" s="30">
        <f>IF(OR(Y1='Input Tables'!$BA$54, Y1='Input Tables'!$BB$54,Y1='Input Tables'!$BC$54, Y1='Input Tables'!$BD$54,Y1='Input Tables'!$BE$54,Y1='Input Tables'!$BF$54,Y1='Input Tables'!$BG$54,Y1='Input Tables'!$BH$54,Y1='Input Tables'!$BI$54,Y1='Input Tables'!$BJ$54,Y1='Input Tables'!$BK$54, Y1='Input Tables'!$BL$54,'Input Tables'!$BM$54),('Cost Budgets'!$G$15*Y6),0)</f>
        <v>0</v>
      </c>
      <c r="Z48" s="30">
        <f>IF(OR(Z1='Input Tables'!$BA$54, Z1='Input Tables'!$BB$54,Z1='Input Tables'!$BC$54, Z1='Input Tables'!$BD$54,Z1='Input Tables'!$BE$54,Z1='Input Tables'!$BF$54,Z1='Input Tables'!$BG$54,Z1='Input Tables'!$BH$54,Z1='Input Tables'!$BI$54,Z1='Input Tables'!$BJ$54,Z1='Input Tables'!$BK$54, Z1='Input Tables'!$BL$54,'Input Tables'!$BM$54),('Cost Budgets'!$G$15*Z6),0)</f>
        <v>0</v>
      </c>
      <c r="AA48" s="30">
        <f>IF(OR(AA1='Input Tables'!$BA$54, AA1='Input Tables'!$BB$54,AA1='Input Tables'!$BC$54, AA1='Input Tables'!$BD$54,AA1='Input Tables'!$BE$54,AA1='Input Tables'!$BF$54,AA1='Input Tables'!$BG$54,AA1='Input Tables'!$BH$54,AA1='Input Tables'!$BI$54,AA1='Input Tables'!$BJ$54,AA1='Input Tables'!$BK$54, AA1='Input Tables'!$BL$54,'Input Tables'!$BM$54),('Cost Budgets'!$G$15*AA6),0)</f>
        <v>0</v>
      </c>
      <c r="AB48" s="30">
        <f>IF(OR(AB1='Input Tables'!$BA$54, AB1='Input Tables'!$BB$54,AB1='Input Tables'!$BC$54, AB1='Input Tables'!$BD$54,AB1='Input Tables'!$BE$54,AB1='Input Tables'!$BF$54,AB1='Input Tables'!$BG$54,AB1='Input Tables'!$BH$54,AB1='Input Tables'!$BI$54,AB1='Input Tables'!$BJ$54,AB1='Input Tables'!$BK$54, AB1='Input Tables'!$BL$54,'Input Tables'!$BM$54),('Cost Budgets'!$G$15*AB6),0)</f>
        <v>0</v>
      </c>
      <c r="AC48" s="30">
        <f>IF(OR(AC1='Input Tables'!$BA$54, AC1='Input Tables'!$BB$54,AC1='Input Tables'!$BC$54, AC1='Input Tables'!$BD$54,AC1='Input Tables'!$BE$54,AC1='Input Tables'!$BF$54,AC1='Input Tables'!$BG$54,AC1='Input Tables'!$BH$54,AC1='Input Tables'!$BI$54,AC1='Input Tables'!$BJ$54,AC1='Input Tables'!$BK$54, AC1='Input Tables'!$BL$54,'Input Tables'!$BM$54),('Cost Budgets'!$G$15*AC6),0)</f>
        <v>0</v>
      </c>
      <c r="AD48" s="30">
        <f>IF(OR(AD1='Input Tables'!$BA$54, AD1='Input Tables'!$BB$54,AD1='Input Tables'!$BC$54, AD1='Input Tables'!$BD$54,AD1='Input Tables'!$BE$54,AD1='Input Tables'!$BF$54,AD1='Input Tables'!$BG$54,AD1='Input Tables'!$BH$54,AD1='Input Tables'!$BI$54,AD1='Input Tables'!$BJ$54,AD1='Input Tables'!$BK$54, AD1='Input Tables'!$BL$54,'Input Tables'!$BM$54),('Cost Budgets'!$G$15*AD6),0)</f>
        <v>0</v>
      </c>
      <c r="AE48" s="30">
        <f>IF(OR(AE1='Input Tables'!$BA$54, AE1='Input Tables'!$BB$54,AE1='Input Tables'!$BC$54, AE1='Input Tables'!$BD$54,AE1='Input Tables'!$BE$54,AE1='Input Tables'!$BF$54,AE1='Input Tables'!$BG$54,AE1='Input Tables'!$BH$54,AE1='Input Tables'!$BI$54,AE1='Input Tables'!$BJ$54,AE1='Input Tables'!$BK$54, AE1='Input Tables'!$BL$54,'Input Tables'!$BM$54),('Cost Budgets'!$G$15*AE6),0)</f>
        <v>0</v>
      </c>
      <c r="AF48" s="30">
        <f>IF(OR(AF1='Input Tables'!$BA$54, AF1='Input Tables'!$BB$54,AF1='Input Tables'!$BC$54, AF1='Input Tables'!$BD$54,AF1='Input Tables'!$BE$54,AF1='Input Tables'!$BF$54,AF1='Input Tables'!$BG$54,AF1='Input Tables'!$BH$54,AF1='Input Tables'!$BI$54,AF1='Input Tables'!$BJ$54,AF1='Input Tables'!$BK$54, AF1='Input Tables'!$BL$54,'Input Tables'!$BM$54),('Cost Budgets'!$G$15*AF6),0)</f>
        <v>0</v>
      </c>
      <c r="AG48" s="30">
        <f>IF(OR(AG1='Input Tables'!$BA$54, AG1='Input Tables'!$BB$54,AG1='Input Tables'!$BC$54, AG1='Input Tables'!$BD$54,AG1='Input Tables'!$BE$54,AG1='Input Tables'!$BF$54,AG1='Input Tables'!$BG$54,AG1='Input Tables'!$BH$54,AG1='Input Tables'!$BI$54,AG1='Input Tables'!$BJ$54,AG1='Input Tables'!$BK$54, AG1='Input Tables'!$BL$54,'Input Tables'!$BM$54),('Cost Budgets'!$G$15*AG6),0)</f>
        <v>0</v>
      </c>
      <c r="AH48" s="30">
        <f>IF(OR(AH1='Input Tables'!$BA$54, AH1='Input Tables'!$BB$54,AH1='Input Tables'!$BC$54, AH1='Input Tables'!$BD$54,AH1='Input Tables'!$BE$54,AH1='Input Tables'!$BF$54,AH1='Input Tables'!$BG$54,AH1='Input Tables'!$BH$54,AH1='Input Tables'!$BI$54,AH1='Input Tables'!$BJ$54,AH1='Input Tables'!$BK$54, AH1='Input Tables'!$BL$54,'Input Tables'!$BM$54),('Cost Budgets'!$G$15*AH6),0)</f>
        <v>0</v>
      </c>
      <c r="AI48" s="30">
        <f>IF(OR(AI1='Input Tables'!$BA$54, AI1='Input Tables'!$BB$54,AI1='Input Tables'!$BC$54, AI1='Input Tables'!$BD$54,AI1='Input Tables'!$BE$54,AI1='Input Tables'!$BF$54,AI1='Input Tables'!$BG$54,AI1='Input Tables'!$BH$54,AI1='Input Tables'!$BI$54,AI1='Input Tables'!$BJ$54,AI1='Input Tables'!$BK$54, AI1='Input Tables'!$BL$54,'Input Tables'!$BM$54),('Cost Budgets'!$G$15*AI6),0)</f>
        <v>0</v>
      </c>
      <c r="AJ48" s="30">
        <f>IF(OR(AJ1='Input Tables'!$BA$54, AJ1='Input Tables'!$BB$54,AJ1='Input Tables'!$BC$54, AJ1='Input Tables'!$BD$54,AJ1='Input Tables'!$BE$54,AJ1='Input Tables'!$BF$54,AJ1='Input Tables'!$BG$54,AJ1='Input Tables'!$BH$54,AJ1='Input Tables'!$BI$54,AJ1='Input Tables'!$BJ$54,AJ1='Input Tables'!$BK$54, AJ1='Input Tables'!$BL$54,'Input Tables'!$BM$54),('Cost Budgets'!$G$15*AJ6),0)</f>
        <v>0</v>
      </c>
      <c r="AK48" s="30">
        <f>IF(OR(AK1='Input Tables'!$BA$54, AK1='Input Tables'!$BB$54,AK1='Input Tables'!$BC$54, AK1='Input Tables'!$BD$54,AK1='Input Tables'!$BE$54,AK1='Input Tables'!$BF$54,AK1='Input Tables'!$BG$54,AK1='Input Tables'!$BH$54,AK1='Input Tables'!$BI$54,AK1='Input Tables'!$BJ$54,AK1='Input Tables'!$BK$54, AK1='Input Tables'!$BL$54,'Input Tables'!$BM$54),('Cost Budgets'!$G$15*AK6),0)</f>
        <v>0</v>
      </c>
      <c r="AL48" s="30">
        <f>IF(OR(AL1='Input Tables'!$BA$54, AL1='Input Tables'!$BB$54,AL1='Input Tables'!$BC$54, AL1='Input Tables'!$BD$54,AL1='Input Tables'!$BE$54,AL1='Input Tables'!$BF$54,AL1='Input Tables'!$BG$54,AL1='Input Tables'!$BH$54,AL1='Input Tables'!$BI$54,AL1='Input Tables'!$BJ$54,AL1='Input Tables'!$BK$54, AL1='Input Tables'!$BL$54,'Input Tables'!$BM$54),('Cost Budgets'!$G$15*AL6),0)</f>
        <v>0</v>
      </c>
      <c r="AM48" s="30">
        <f>IF(OR(AM1='Input Tables'!$BA$54, AM1='Input Tables'!$BB$54,AM1='Input Tables'!$BC$54, AM1='Input Tables'!$BD$54,AM1='Input Tables'!$BE$54,AM1='Input Tables'!$BF$54,AM1='Input Tables'!$BG$54,AM1='Input Tables'!$BH$54,AM1='Input Tables'!$BI$54,AM1='Input Tables'!$BJ$54,AM1='Input Tables'!$BK$54, AM1='Input Tables'!$BL$54,'Input Tables'!$BM$54),('Cost Budgets'!$G$15*AM6),0)</f>
        <v>0</v>
      </c>
      <c r="AN48" s="30">
        <f>IF(OR(AN1='Input Tables'!$BA$54, AN1='Input Tables'!$BB$54,AN1='Input Tables'!$BC$54, AN1='Input Tables'!$BD$54,AN1='Input Tables'!$BE$54,AN1='Input Tables'!$BF$54,AN1='Input Tables'!$BG$54,AN1='Input Tables'!$BH$54,AN1='Input Tables'!$BI$54,AN1='Input Tables'!$BJ$54,AN1='Input Tables'!$BK$54, AN1='Input Tables'!$BL$54,'Input Tables'!$BM$54),('Cost Budgets'!$G$15*AN6),0)</f>
        <v>0</v>
      </c>
      <c r="AO48" s="30">
        <f>IF(OR(AO1='Input Tables'!$BA$54, AO1='Input Tables'!$BB$54,AO1='Input Tables'!$BC$54, AO1='Input Tables'!$BD$54,AO1='Input Tables'!$BE$54,AO1='Input Tables'!$BF$54,AO1='Input Tables'!$BG$54,AO1='Input Tables'!$BH$54,AO1='Input Tables'!$BI$54,AO1='Input Tables'!$BJ$54,AO1='Input Tables'!$BK$54, AO1='Input Tables'!$BL$54,'Input Tables'!$BM$54),('Cost Budgets'!$G$15*AO6),0)</f>
        <v>0</v>
      </c>
      <c r="AP48" s="30">
        <f>IF(OR(AP1='Input Tables'!$BA$54, AP1='Input Tables'!$BB$54,AP1='Input Tables'!$BC$54, AP1='Input Tables'!$BD$54,AP1='Input Tables'!$BE$54,AP1='Input Tables'!$BF$54,AP1='Input Tables'!$BG$54,AP1='Input Tables'!$BH$54,AP1='Input Tables'!$BI$54,AP1='Input Tables'!$BJ$54,AP1='Input Tables'!$BK$54, AP1='Input Tables'!$BL$54,'Input Tables'!$BM$54),('Cost Budgets'!$G$15*AP6),0)</f>
        <v>0</v>
      </c>
      <c r="AQ48" s="30">
        <f>IF(OR(AQ1='Input Tables'!$BA$54, AQ1='Input Tables'!$BB$54,AQ1='Input Tables'!$BC$54, AQ1='Input Tables'!$BD$54,AQ1='Input Tables'!$BE$54,AQ1='Input Tables'!$BF$54,AQ1='Input Tables'!$BG$54,AQ1='Input Tables'!$BH$54,AQ1='Input Tables'!$BI$54,AQ1='Input Tables'!$BJ$54,AQ1='Input Tables'!$BK$54, AQ1='Input Tables'!$BL$54,'Input Tables'!$BM$54),('Cost Budgets'!$G$15*AQ6),0)</f>
        <v>0</v>
      </c>
      <c r="AR48" s="30">
        <f>IF(OR(AR1='Input Tables'!$BA$54, AR1='Input Tables'!$BB$54,AR1='Input Tables'!$BC$54, AR1='Input Tables'!$BD$54,AR1='Input Tables'!$BE$54,AR1='Input Tables'!$BF$54,AR1='Input Tables'!$BG$54,AR1='Input Tables'!$BH$54,AR1='Input Tables'!$BI$54,AR1='Input Tables'!$BJ$54,AR1='Input Tables'!$BK$54, AR1='Input Tables'!$BL$54,'Input Tables'!$BM$54),('Cost Budgets'!$G$15*AR6),0)</f>
        <v>0</v>
      </c>
      <c r="AS48" s="30">
        <f>IF(OR(AS1='Input Tables'!$BA$54, AS1='Input Tables'!$BB$54,AS1='Input Tables'!$BC$54, AS1='Input Tables'!$BD$54,AS1='Input Tables'!$BE$54,AS1='Input Tables'!$BF$54,AS1='Input Tables'!$BG$54,AS1='Input Tables'!$BH$54,AS1='Input Tables'!$BI$54,AS1='Input Tables'!$BJ$54,AS1='Input Tables'!$BK$54, AS1='Input Tables'!$BL$54,'Input Tables'!$BM$54),('Cost Budgets'!$G$15*AS6),0)</f>
        <v>0</v>
      </c>
      <c r="AT48" s="30">
        <f>IF(OR(AT1='Input Tables'!$BA$54, AT1='Input Tables'!$BB$54,AT1='Input Tables'!$BC$54, AT1='Input Tables'!$BD$54,AT1='Input Tables'!$BE$54,AT1='Input Tables'!$BF$54,AT1='Input Tables'!$BG$54,AT1='Input Tables'!$BH$54,AT1='Input Tables'!$BI$54,AT1='Input Tables'!$BJ$54,AT1='Input Tables'!$BK$54, AT1='Input Tables'!$BL$54,'Input Tables'!$BM$54),('Cost Budgets'!$G$15*AT6),0)</f>
        <v>0</v>
      </c>
      <c r="AU48" s="30">
        <f>IF(OR(AU1='Input Tables'!$BA$54, AU1='Input Tables'!$BB$54,AU1='Input Tables'!$BC$54, AU1='Input Tables'!$BD$54,AU1='Input Tables'!$BE$54,AU1='Input Tables'!$BF$54,AU1='Input Tables'!$BG$54,AU1='Input Tables'!$BH$54,AU1='Input Tables'!$BI$54,AU1='Input Tables'!$BJ$54,AU1='Input Tables'!$BK$54, AU1='Input Tables'!$BL$54,'Input Tables'!$BM$54),('Cost Budgets'!$G$15*AU6),0)</f>
        <v>0</v>
      </c>
      <c r="AV48" s="30">
        <f>IF(OR(AV1='Input Tables'!$BA$54, AV1='Input Tables'!$BB$54,AV1='Input Tables'!$BC$54, AV1='Input Tables'!$BD$54,AV1='Input Tables'!$BE$54,AV1='Input Tables'!$BF$54,AV1='Input Tables'!$BG$54,AV1='Input Tables'!$BH$54,AV1='Input Tables'!$BI$54,AV1='Input Tables'!$BJ$54,AV1='Input Tables'!$BK$54, AV1='Input Tables'!$BL$54,'Input Tables'!$BM$54),('Cost Budgets'!$G$15*AV6),0)</f>
        <v>0</v>
      </c>
      <c r="AW48" s="30">
        <f>IF(OR(AW1='Input Tables'!$BA$54, AW1='Input Tables'!$BB$54,AW1='Input Tables'!$BC$54, AW1='Input Tables'!$BD$54,AW1='Input Tables'!$BE$54,AW1='Input Tables'!$BF$54,AW1='Input Tables'!$BG$54,AW1='Input Tables'!$BH$54,AW1='Input Tables'!$BI$54,AW1='Input Tables'!$BJ$54,AW1='Input Tables'!$BK$54, AW1='Input Tables'!$BL$54,'Input Tables'!$BM$54),('Cost Budgets'!$G$15*AW6),0)</f>
        <v>0</v>
      </c>
      <c r="AX48" s="30">
        <f>IF(OR(AX1='Input Tables'!$BA$54, AX1='Input Tables'!$BB$54,AX1='Input Tables'!$BC$54, AX1='Input Tables'!$BD$54,AX1='Input Tables'!$BE$54,AX1='Input Tables'!$BF$54,AX1='Input Tables'!$BG$54,AX1='Input Tables'!$BH$54,AX1='Input Tables'!$BI$54,AX1='Input Tables'!$BJ$54,AX1='Input Tables'!$BK$54, AX1='Input Tables'!$BL$54,'Input Tables'!$BM$54),('Cost Budgets'!$G$15*AX6),0)</f>
        <v>0</v>
      </c>
      <c r="AY48" s="30">
        <f>IF(OR(AY1='Input Tables'!$BA$54, AY1='Input Tables'!$BB$54,AY1='Input Tables'!$BC$54, AY1='Input Tables'!$BD$54,AY1='Input Tables'!$BE$54,AY1='Input Tables'!$BF$54,AY1='Input Tables'!$BG$54,AY1='Input Tables'!$BH$54,AY1='Input Tables'!$BI$54,AY1='Input Tables'!$BJ$54,AY1='Input Tables'!$BK$54, AY1='Input Tables'!$BL$54,'Input Tables'!$BM$54),('Cost Budgets'!$G$15*AY6),0)</f>
        <v>0</v>
      </c>
      <c r="AZ48" s="30">
        <f>IF(OR(AZ1='Input Tables'!$BA$54, AZ1='Input Tables'!$BB$54,AZ1='Input Tables'!$BC$54, AZ1='Input Tables'!$BD$54,AZ1='Input Tables'!$BE$54,AZ1='Input Tables'!$BF$54,AZ1='Input Tables'!$BG$54,AZ1='Input Tables'!$BH$54,AZ1='Input Tables'!$BI$54,AZ1='Input Tables'!$BJ$54,AZ1='Input Tables'!$BK$54, AZ1='Input Tables'!$BL$54,'Input Tables'!$BM$54),('Cost Budgets'!$G$15*AZ6),0)</f>
        <v>0</v>
      </c>
      <c r="BA48" s="30">
        <f>IF(OR(BA1='Input Tables'!$BA$54, BA1='Input Tables'!$BB$54,BA1='Input Tables'!$BC$54, BA1='Input Tables'!$BD$54,BA1='Input Tables'!$BE$54,BA1='Input Tables'!$BF$54,BA1='Input Tables'!$BG$54,BA1='Input Tables'!$BH$54,BA1='Input Tables'!$BI$54,BA1='Input Tables'!$BJ$54,BA1='Input Tables'!$BK$54, BA1='Input Tables'!$BL$54,'Input Tables'!$BM$54),('Cost Budgets'!$G$15*BA6),0)</f>
        <v>0</v>
      </c>
      <c r="BB48" s="30">
        <f>IF(OR(BB1='Input Tables'!$BA$54, BB1='Input Tables'!$BB$54,BB1='Input Tables'!$BC$54, BB1='Input Tables'!$BD$54,BB1='Input Tables'!$BE$54,BB1='Input Tables'!$BF$54,BB1='Input Tables'!$BG$54,BB1='Input Tables'!$BH$54,BB1='Input Tables'!$BI$54,BB1='Input Tables'!$BJ$54,BB1='Input Tables'!$BK$54, BB1='Input Tables'!$BL$54,'Input Tables'!$BM$54),('Cost Budgets'!$G$15*BB6),0)</f>
        <v>0</v>
      </c>
      <c r="BC48" s="30">
        <f>IF(OR(BC1='Input Tables'!$BA$54, BC1='Input Tables'!$BB$54,BC1='Input Tables'!$BC$54, BC1='Input Tables'!$BD$54,BC1='Input Tables'!$BE$54,BC1='Input Tables'!$BF$54,BC1='Input Tables'!$BG$54,BC1='Input Tables'!$BH$54,BC1='Input Tables'!$BI$54,BC1='Input Tables'!$BJ$54,BC1='Input Tables'!$BK$54, BC1='Input Tables'!$BL$54,'Input Tables'!$BM$54),('Cost Budgets'!$G$15*BC6),0)</f>
        <v>0</v>
      </c>
      <c r="BD48" s="30">
        <f>IF(OR(BD1='Input Tables'!$BA$54, BD1='Input Tables'!$BB$54,BD1='Input Tables'!$BC$54, BD1='Input Tables'!$BD$54,BD1='Input Tables'!$BE$54,BD1='Input Tables'!$BF$54,BD1='Input Tables'!$BG$54,BD1='Input Tables'!$BH$54,BD1='Input Tables'!$BI$54,BD1='Input Tables'!$BJ$54,BD1='Input Tables'!$BK$54, BD1='Input Tables'!$BL$54,'Input Tables'!$BM$54),('Cost Budgets'!$G$15*BD6),0)</f>
        <v>0</v>
      </c>
      <c r="BE48" s="30">
        <f>IF(OR(BE1='Input Tables'!$BA$54, BE1='Input Tables'!$BB$54,BE1='Input Tables'!$BC$54, BE1='Input Tables'!$BD$54,BE1='Input Tables'!$BE$54,BE1='Input Tables'!$BF$54,BE1='Input Tables'!$BG$54,BE1='Input Tables'!$BH$54,BE1='Input Tables'!$BI$54,BE1='Input Tables'!$BJ$54,BE1='Input Tables'!$BK$54, BE1='Input Tables'!$BL$54,'Input Tables'!$BM$54),('Cost Budgets'!$G$15*BE6),0)</f>
        <v>0</v>
      </c>
      <c r="BF48" s="30">
        <f>IF(OR(BF1='Input Tables'!$BA$54, BF1='Input Tables'!$BB$54,BF1='Input Tables'!$BC$54, BF1='Input Tables'!$BD$54,BF1='Input Tables'!$BE$54,BF1='Input Tables'!$BF$54,BF1='Input Tables'!$BG$54,BF1='Input Tables'!$BH$54,BF1='Input Tables'!$BI$54,BF1='Input Tables'!$BJ$54,BF1='Input Tables'!$BK$54, BF1='Input Tables'!$BL$54,'Input Tables'!$BM$54),('Cost Budgets'!$G$15*BF6),0)</f>
        <v>0</v>
      </c>
      <c r="BG48" s="30">
        <f>IF(OR(BG1='Input Tables'!$BA$54, BG1='Input Tables'!$BB$54,BG1='Input Tables'!$BC$54, BG1='Input Tables'!$BD$54,BG1='Input Tables'!$BE$54,BG1='Input Tables'!$BF$54,BG1='Input Tables'!$BG$54,BG1='Input Tables'!$BH$54,BG1='Input Tables'!$BI$54,BG1='Input Tables'!$BJ$54,BG1='Input Tables'!$BK$54, BG1='Input Tables'!$BL$54,'Input Tables'!$BM$54),('Cost Budgets'!$G$15*BG6),0)</f>
        <v>0</v>
      </c>
      <c r="BH48" s="30">
        <f>IF(OR(BH1='Input Tables'!$BA$54, BH1='Input Tables'!$BB$54,BH1='Input Tables'!$BC$54, BH1='Input Tables'!$BD$54,BH1='Input Tables'!$BE$54,BH1='Input Tables'!$BF$54,BH1='Input Tables'!$BG$54,BH1='Input Tables'!$BH$54,BH1='Input Tables'!$BI$54,BH1='Input Tables'!$BJ$54,BH1='Input Tables'!$BK$54, BH1='Input Tables'!$BL$54,'Input Tables'!$BM$54),('Cost Budgets'!$G$15*BH6),0)</f>
        <v>0</v>
      </c>
      <c r="BI48" s="30">
        <f>IF(OR(BI1='Input Tables'!$BA$54, BI1='Input Tables'!$BB$54,BI1='Input Tables'!$BC$54, BI1='Input Tables'!$BD$54,BI1='Input Tables'!$BE$54,BI1='Input Tables'!$BF$54,BI1='Input Tables'!$BG$54,BI1='Input Tables'!$BH$54,BI1='Input Tables'!$BI$54,BI1='Input Tables'!$BJ$54,BI1='Input Tables'!$BK$54, BI1='Input Tables'!$BL$54,'Input Tables'!$BM$54),('Cost Budgets'!$G$15*BI6),0)</f>
        <v>0</v>
      </c>
      <c r="BJ48" s="30">
        <f>IF(OR(BJ1='Input Tables'!$BA$54, BJ1='Input Tables'!$BB$54,BJ1='Input Tables'!$BC$54, BJ1='Input Tables'!$BD$54,BJ1='Input Tables'!$BE$54,BJ1='Input Tables'!$BF$54,BJ1='Input Tables'!$BG$54,BJ1='Input Tables'!$BH$54,BJ1='Input Tables'!$BI$54,BJ1='Input Tables'!$BJ$54,BJ1='Input Tables'!$BK$54, BJ1='Input Tables'!$BL$54,'Input Tables'!$BM$54),('Cost Budgets'!$G$15*BJ6),0)</f>
        <v>0</v>
      </c>
      <c r="BK48" s="30">
        <f>IF(OR(BK1='Input Tables'!$BA$54, BK1='Input Tables'!$BB$54,BK1='Input Tables'!$BC$54, BK1='Input Tables'!$BD$54,BK1='Input Tables'!$BE$54,BK1='Input Tables'!$BF$54,BK1='Input Tables'!$BG$54,BK1='Input Tables'!$BH$54,BK1='Input Tables'!$BI$54,BK1='Input Tables'!$BJ$54,BK1='Input Tables'!$BK$54, BK1='Input Tables'!$BL$54,'Input Tables'!$BM$54),('Cost Budgets'!$G$15*BK6),0)</f>
        <v>0</v>
      </c>
    </row>
    <row r="49" spans="1:63" x14ac:dyDescent="0.35">
      <c r="A49" s="188"/>
    </row>
    <row r="50" spans="1:63" x14ac:dyDescent="0.35">
      <c r="A50" s="188"/>
      <c r="B50" t="s">
        <v>27</v>
      </c>
      <c r="E50" s="30">
        <f>IF(OR(E1='Input Tables'!$BA$68, E1='Input Tables'!$BB$68,E1='Input Tables'!$BC$68, E1='Input Tables'!$BD$68,E1='Input Tables'!$BE$68,E1='Input Tables'!$BF$68,E1='Input Tables'!$BG$68,E1='Input Tables'!$BH$68,E1='Input Tables'!$BI$68,E1='Input Tables'!$BJ$68,E1='Input Tables'!$BK$68, E1='Input Tables'!$BL$68,'Input Tables'!$BM$68),('Cost Budgets'!$G$16*E6),0)</f>
        <v>0</v>
      </c>
      <c r="F50" s="30">
        <f>IF(OR(F1='Input Tables'!$BA$68, F1='Input Tables'!$BB$68,F1='Input Tables'!$BC$68, F1='Input Tables'!$BD$68,F1='Input Tables'!$BE$68,F1='Input Tables'!$BF$68,F1='Input Tables'!$BG$68,F1='Input Tables'!$BH$68,F1='Input Tables'!$BI$68,F1='Input Tables'!$BJ$68,F1='Input Tables'!$BK$68, F1='Input Tables'!$BL$68,'Input Tables'!$BM$68),('Cost Budgets'!$G$16*F6),0)</f>
        <v>0</v>
      </c>
      <c r="G50" s="30">
        <f>IF(OR(G1='Input Tables'!$BA$68, G1='Input Tables'!$BB$68,G1='Input Tables'!$BC$68, G1='Input Tables'!$BD$68,G1='Input Tables'!$BE$68,G1='Input Tables'!$BF$68,G1='Input Tables'!$BG$68,G1='Input Tables'!$BH$68,G1='Input Tables'!$BI$68,G1='Input Tables'!$BJ$68,G1='Input Tables'!$BK$68, G1='Input Tables'!$BL$68,'Input Tables'!$BM$68),('Cost Budgets'!$G$16*G6),0)</f>
        <v>0</v>
      </c>
      <c r="H50" s="30">
        <f ca="1">IF(OR(H1='Input Tables'!$BA$68, H1='Input Tables'!$BB$68,H1='Input Tables'!$BC$68, H1='Input Tables'!$BD$68,H1='Input Tables'!$BE$68,H1='Input Tables'!$BF$68,H1='Input Tables'!$BG$68,H1='Input Tables'!$BH$68,H1='Input Tables'!$BI$68,H1='Input Tables'!$BJ$68,H1='Input Tables'!$BK$68, H1='Input Tables'!$BL$68,'Input Tables'!$BM$68),('Cost Budgets'!$G$16*H6),0)</f>
        <v>0</v>
      </c>
      <c r="I50" s="30">
        <f>IF(OR(I1='Input Tables'!$BA$68, I1='Input Tables'!$BB$68,I1='Input Tables'!$BC$68, I1='Input Tables'!$BD$68,I1='Input Tables'!$BE$68,I1='Input Tables'!$BF$68,I1='Input Tables'!$BG$68,I1='Input Tables'!$BH$68,I1='Input Tables'!$BI$68,I1='Input Tables'!$BJ$68,I1='Input Tables'!$BK$68, I1='Input Tables'!$BL$68,'Input Tables'!$BM$68),('Cost Budgets'!$G$16*I6),0)</f>
        <v>0</v>
      </c>
      <c r="J50" s="30">
        <f>IF(OR(J1='Input Tables'!$BA$68, J1='Input Tables'!$BB$68,J1='Input Tables'!$BC$68, J1='Input Tables'!$BD$68,J1='Input Tables'!$BE$68,J1='Input Tables'!$BF$68,J1='Input Tables'!$BG$68,J1='Input Tables'!$BH$68,J1='Input Tables'!$BI$68,J1='Input Tables'!$BJ$68,J1='Input Tables'!$BK$68, J1='Input Tables'!$BL$68,'Input Tables'!$BM$68),('Cost Budgets'!$G$16*J6),0)</f>
        <v>0</v>
      </c>
      <c r="K50" s="30">
        <f ca="1">IF(OR(K1='Input Tables'!$BA$68, K1='Input Tables'!$BB$68,K1='Input Tables'!$BC$68, K1='Input Tables'!$BD$68,K1='Input Tables'!$BE$68,K1='Input Tables'!$BF$68,K1='Input Tables'!$BG$68,K1='Input Tables'!$BH$68,K1='Input Tables'!$BI$68,K1='Input Tables'!$BJ$68,K1='Input Tables'!$BK$68, K1='Input Tables'!$BL$68,'Input Tables'!$BM$68),('Cost Budgets'!$G$16*K6),0)</f>
        <v>0</v>
      </c>
      <c r="L50" s="30">
        <f>IF(OR(L1='Input Tables'!$BA$68, L1='Input Tables'!$BB$68,L1='Input Tables'!$BC$68, L1='Input Tables'!$BD$68,L1='Input Tables'!$BE$68,L1='Input Tables'!$BF$68,L1='Input Tables'!$BG$68,L1='Input Tables'!$BH$68,L1='Input Tables'!$BI$68,L1='Input Tables'!$BJ$68,L1='Input Tables'!$BK$68, L1='Input Tables'!$BL$68,'Input Tables'!$BM$68),('Cost Budgets'!$G$16*L6),0)</f>
        <v>0</v>
      </c>
      <c r="M50" s="30">
        <f>IF(OR(M1='Input Tables'!$BA$68, M1='Input Tables'!$BB$68,M1='Input Tables'!$BC$68, M1='Input Tables'!$BD$68,M1='Input Tables'!$BE$68,M1='Input Tables'!$BF$68,M1='Input Tables'!$BG$68,M1='Input Tables'!$BH$68,M1='Input Tables'!$BI$68,M1='Input Tables'!$BJ$68,M1='Input Tables'!$BK$68, M1='Input Tables'!$BL$68,'Input Tables'!$BM$68),('Cost Budgets'!$G$16*M6),0)</f>
        <v>0</v>
      </c>
      <c r="N50" s="30">
        <f ca="1">IF(OR(N1='Input Tables'!$BA$68, N1='Input Tables'!$BB$68,N1='Input Tables'!$BC$68, N1='Input Tables'!$BD$68,N1='Input Tables'!$BE$68,N1='Input Tables'!$BF$68,N1='Input Tables'!$BG$68,N1='Input Tables'!$BH$68,N1='Input Tables'!$BI$68,N1='Input Tables'!$BJ$68,N1='Input Tables'!$BK$68, N1='Input Tables'!$BL$68,'Input Tables'!$BM$68),('Cost Budgets'!$G$16*N6),0)</f>
        <v>0</v>
      </c>
      <c r="O50" s="30">
        <f>IF(OR(O1='Input Tables'!$BA$68, O1='Input Tables'!$BB$68,O1='Input Tables'!$BC$68, O1='Input Tables'!$BD$68,O1='Input Tables'!$BE$68,O1='Input Tables'!$BF$68,O1='Input Tables'!$BG$68,O1='Input Tables'!$BH$68,O1='Input Tables'!$BI$68,O1='Input Tables'!$BJ$68,O1='Input Tables'!$BK$68, O1='Input Tables'!$BL$68,'Input Tables'!$BM$68),('Cost Budgets'!$G$16*O6),0)</f>
        <v>0</v>
      </c>
      <c r="P50" s="30">
        <f>IF(OR(P1='Input Tables'!$BA$68, P1='Input Tables'!$BB$68,P1='Input Tables'!$BC$68, P1='Input Tables'!$BD$68,P1='Input Tables'!$BE$68,P1='Input Tables'!$BF$68,P1='Input Tables'!$BG$68,P1='Input Tables'!$BH$68,P1='Input Tables'!$BI$68,P1='Input Tables'!$BJ$68,P1='Input Tables'!$BK$68, P1='Input Tables'!$BL$68,'Input Tables'!$BM$68),('Cost Budgets'!$G$16*P6),0)</f>
        <v>0</v>
      </c>
      <c r="Q50" s="30">
        <f ca="1">IF(OR(Q1='Input Tables'!$BA$68, Q1='Input Tables'!$BB$68,Q1='Input Tables'!$BC$68, Q1='Input Tables'!$BD$68,Q1='Input Tables'!$BE$68,Q1='Input Tables'!$BF$68,Q1='Input Tables'!$BG$68,Q1='Input Tables'!$BH$68,Q1='Input Tables'!$BI$68,Q1='Input Tables'!$BJ$68,Q1='Input Tables'!$BK$68, Q1='Input Tables'!$BL$68,'Input Tables'!$BM$68),('Cost Budgets'!$G$16*Q6),0)</f>
        <v>0</v>
      </c>
      <c r="R50" s="30">
        <f>IF(OR(R1='Input Tables'!$BA$68, R1='Input Tables'!$BB$68,R1='Input Tables'!$BC$68, R1='Input Tables'!$BD$68,R1='Input Tables'!$BE$68,R1='Input Tables'!$BF$68,R1='Input Tables'!$BG$68,R1='Input Tables'!$BH$68,R1='Input Tables'!$BI$68,R1='Input Tables'!$BJ$68,R1='Input Tables'!$BK$68, R1='Input Tables'!$BL$68,'Input Tables'!$BM$68),('Cost Budgets'!$G$16*R6),0)</f>
        <v>0</v>
      </c>
      <c r="S50" s="30">
        <f>IF(OR(S1='Input Tables'!$BA$68, S1='Input Tables'!$BB$68,S1='Input Tables'!$BC$68, S1='Input Tables'!$BD$68,S1='Input Tables'!$BE$68,S1='Input Tables'!$BF$68,S1='Input Tables'!$BG$68,S1='Input Tables'!$BH$68,S1='Input Tables'!$BI$68,S1='Input Tables'!$BJ$68,S1='Input Tables'!$BK$68, S1='Input Tables'!$BL$68,'Input Tables'!$BM$68),('Cost Budgets'!$G$16*S6),0)</f>
        <v>0</v>
      </c>
      <c r="T50" s="30">
        <f>IF(OR(T1='Input Tables'!$BA$68, T1='Input Tables'!$BB$68,T1='Input Tables'!$BC$68, T1='Input Tables'!$BD$68,T1='Input Tables'!$BE$68,T1='Input Tables'!$BF$68,T1='Input Tables'!$BG$68,T1='Input Tables'!$BH$68,T1='Input Tables'!$BI$68,T1='Input Tables'!$BJ$68,T1='Input Tables'!$BK$68, T1='Input Tables'!$BL$68,'Input Tables'!$BM$68),('Cost Budgets'!$G$16*T6),0)</f>
        <v>0</v>
      </c>
      <c r="U50" s="30">
        <f>IF(OR(U1='Input Tables'!$BA$68, U1='Input Tables'!$BB$68,U1='Input Tables'!$BC$68, U1='Input Tables'!$BD$68,U1='Input Tables'!$BE$68,U1='Input Tables'!$BF$68,U1='Input Tables'!$BG$68,U1='Input Tables'!$BH$68,U1='Input Tables'!$BI$68,U1='Input Tables'!$BJ$68,U1='Input Tables'!$BK$68, U1='Input Tables'!$BL$68,'Input Tables'!$BM$68),('Cost Budgets'!$G$16*U6),0)</f>
        <v>0</v>
      </c>
      <c r="V50" s="30">
        <f>IF(OR(V1='Input Tables'!$BA$68, V1='Input Tables'!$BB$68,V1='Input Tables'!$BC$68, V1='Input Tables'!$BD$68,V1='Input Tables'!$BE$68,V1='Input Tables'!$BF$68,V1='Input Tables'!$BG$68,V1='Input Tables'!$BH$68,V1='Input Tables'!$BI$68,V1='Input Tables'!$BJ$68,V1='Input Tables'!$BK$68, V1='Input Tables'!$BL$68,'Input Tables'!$BM$68),('Cost Budgets'!$G$16*V6),0)</f>
        <v>0</v>
      </c>
      <c r="W50" s="30">
        <f>IF(OR(W1='Input Tables'!$BA$68, W1='Input Tables'!$BB$68,W1='Input Tables'!$BC$68, W1='Input Tables'!$BD$68,W1='Input Tables'!$BE$68,W1='Input Tables'!$BF$68,W1='Input Tables'!$BG$68,W1='Input Tables'!$BH$68,W1='Input Tables'!$BI$68,W1='Input Tables'!$BJ$68,W1='Input Tables'!$BK$68, W1='Input Tables'!$BL$68,'Input Tables'!$BM$68),('Cost Budgets'!$G$16*W6),0)</f>
        <v>0</v>
      </c>
      <c r="X50" s="30">
        <f>IF(OR(X1='Input Tables'!$BA$68, X1='Input Tables'!$BB$68,X1='Input Tables'!$BC$68, X1='Input Tables'!$BD$68,X1='Input Tables'!$BE$68,X1='Input Tables'!$BF$68,X1='Input Tables'!$BG$68,X1='Input Tables'!$BH$68,X1='Input Tables'!$BI$68,X1='Input Tables'!$BJ$68,X1='Input Tables'!$BK$68, X1='Input Tables'!$BL$68,'Input Tables'!$BM$68),('Cost Budgets'!$G$16*X6),0)</f>
        <v>0</v>
      </c>
      <c r="Y50" s="30">
        <f>IF(OR(Y1='Input Tables'!$BA$68, Y1='Input Tables'!$BB$68,Y1='Input Tables'!$BC$68, Y1='Input Tables'!$BD$68,Y1='Input Tables'!$BE$68,Y1='Input Tables'!$BF$68,Y1='Input Tables'!$BG$68,Y1='Input Tables'!$BH$68,Y1='Input Tables'!$BI$68,Y1='Input Tables'!$BJ$68,Y1='Input Tables'!$BK$68, Y1='Input Tables'!$BL$68,'Input Tables'!$BM$68),('Cost Budgets'!$G$16*Y6),0)</f>
        <v>0</v>
      </c>
      <c r="Z50" s="30">
        <f>IF(OR(Z1='Input Tables'!$BA$68, Z1='Input Tables'!$BB$68,Z1='Input Tables'!$BC$68, Z1='Input Tables'!$BD$68,Z1='Input Tables'!$BE$68,Z1='Input Tables'!$BF$68,Z1='Input Tables'!$BG$68,Z1='Input Tables'!$BH$68,Z1='Input Tables'!$BI$68,Z1='Input Tables'!$BJ$68,Z1='Input Tables'!$BK$68, Z1='Input Tables'!$BL$68,'Input Tables'!$BM$68),('Cost Budgets'!$G$16*Z6),0)</f>
        <v>0</v>
      </c>
      <c r="AA50" s="30">
        <f>IF(OR(AA1='Input Tables'!$BA$68, AA1='Input Tables'!$BB$68,AA1='Input Tables'!$BC$68, AA1='Input Tables'!$BD$68,AA1='Input Tables'!$BE$68,AA1='Input Tables'!$BF$68,AA1='Input Tables'!$BG$68,AA1='Input Tables'!$BH$68,AA1='Input Tables'!$BI$68,AA1='Input Tables'!$BJ$68,AA1='Input Tables'!$BK$68, AA1='Input Tables'!$BL$68,'Input Tables'!$BM$68),('Cost Budgets'!$G$16*AA6),0)</f>
        <v>0</v>
      </c>
      <c r="AB50" s="30">
        <f>IF(OR(AB1='Input Tables'!$BA$68, AB1='Input Tables'!$BB$68,AB1='Input Tables'!$BC$68, AB1='Input Tables'!$BD$68,AB1='Input Tables'!$BE$68,AB1='Input Tables'!$BF$68,AB1='Input Tables'!$BG$68,AB1='Input Tables'!$BH$68,AB1='Input Tables'!$BI$68,AB1='Input Tables'!$BJ$68,AB1='Input Tables'!$BK$68, AB1='Input Tables'!$BL$68,'Input Tables'!$BM$68),('Cost Budgets'!$G$16*AB6),0)</f>
        <v>0</v>
      </c>
      <c r="AC50" s="30">
        <f>IF(OR(AC1='Input Tables'!$BA$68, AC1='Input Tables'!$BB$68,AC1='Input Tables'!$BC$68, AC1='Input Tables'!$BD$68,AC1='Input Tables'!$BE$68,AC1='Input Tables'!$BF$68,AC1='Input Tables'!$BG$68,AC1='Input Tables'!$BH$68,AC1='Input Tables'!$BI$68,AC1='Input Tables'!$BJ$68,AC1='Input Tables'!$BK$68, AC1='Input Tables'!$BL$68,'Input Tables'!$BM$68),('Cost Budgets'!$G$16*AC6),0)</f>
        <v>0</v>
      </c>
      <c r="AD50" s="30">
        <f>IF(OR(AD1='Input Tables'!$BA$68, AD1='Input Tables'!$BB$68,AD1='Input Tables'!$BC$68, AD1='Input Tables'!$BD$68,AD1='Input Tables'!$BE$68,AD1='Input Tables'!$BF$68,AD1='Input Tables'!$BG$68,AD1='Input Tables'!$BH$68,AD1='Input Tables'!$BI$68,AD1='Input Tables'!$BJ$68,AD1='Input Tables'!$BK$68, AD1='Input Tables'!$BL$68,'Input Tables'!$BM$68),('Cost Budgets'!$G$16*AD6),0)</f>
        <v>0</v>
      </c>
      <c r="AE50" s="30">
        <f>IF(OR(AE1='Input Tables'!$BA$68, AE1='Input Tables'!$BB$68,AE1='Input Tables'!$BC$68, AE1='Input Tables'!$BD$68,AE1='Input Tables'!$BE$68,AE1='Input Tables'!$BF$68,AE1='Input Tables'!$BG$68,AE1='Input Tables'!$BH$68,AE1='Input Tables'!$BI$68,AE1='Input Tables'!$BJ$68,AE1='Input Tables'!$BK$68, AE1='Input Tables'!$BL$68,'Input Tables'!$BM$68),('Cost Budgets'!$G$16*AE6),0)</f>
        <v>0</v>
      </c>
      <c r="AF50" s="30">
        <f>IF(OR(AF1='Input Tables'!$BA$68, AF1='Input Tables'!$BB$68,AF1='Input Tables'!$BC$68, AF1='Input Tables'!$BD$68,AF1='Input Tables'!$BE$68,AF1='Input Tables'!$BF$68,AF1='Input Tables'!$BG$68,AF1='Input Tables'!$BH$68,AF1='Input Tables'!$BI$68,AF1='Input Tables'!$BJ$68,AF1='Input Tables'!$BK$68, AF1='Input Tables'!$BL$68,'Input Tables'!$BM$68),('Cost Budgets'!$G$16*AF6),0)</f>
        <v>0</v>
      </c>
      <c r="AG50" s="30">
        <f>IF(OR(AG1='Input Tables'!$BA$68, AG1='Input Tables'!$BB$68,AG1='Input Tables'!$BC$68, AG1='Input Tables'!$BD$68,AG1='Input Tables'!$BE$68,AG1='Input Tables'!$BF$68,AG1='Input Tables'!$BG$68,AG1='Input Tables'!$BH$68,AG1='Input Tables'!$BI$68,AG1='Input Tables'!$BJ$68,AG1='Input Tables'!$BK$68, AG1='Input Tables'!$BL$68,'Input Tables'!$BM$68),('Cost Budgets'!$G$16*AG6),0)</f>
        <v>0</v>
      </c>
      <c r="AH50" s="30">
        <f>IF(OR(AH1='Input Tables'!$BA$68, AH1='Input Tables'!$BB$68,AH1='Input Tables'!$BC$68, AH1='Input Tables'!$BD$68,AH1='Input Tables'!$BE$68,AH1='Input Tables'!$BF$68,AH1='Input Tables'!$BG$68,AH1='Input Tables'!$BH$68,AH1='Input Tables'!$BI$68,AH1='Input Tables'!$BJ$68,AH1='Input Tables'!$BK$68, AH1='Input Tables'!$BL$68,'Input Tables'!$BM$68),('Cost Budgets'!$G$16*AH6),0)</f>
        <v>0</v>
      </c>
      <c r="AI50" s="30">
        <f>IF(OR(AI1='Input Tables'!$BA$68, AI1='Input Tables'!$BB$68,AI1='Input Tables'!$BC$68, AI1='Input Tables'!$BD$68,AI1='Input Tables'!$BE$68,AI1='Input Tables'!$BF$68,AI1='Input Tables'!$BG$68,AI1='Input Tables'!$BH$68,AI1='Input Tables'!$BI$68,AI1='Input Tables'!$BJ$68,AI1='Input Tables'!$BK$68, AI1='Input Tables'!$BL$68,'Input Tables'!$BM$68),('Cost Budgets'!$G$16*AI6),0)</f>
        <v>0</v>
      </c>
      <c r="AJ50" s="30">
        <f>IF(OR(AJ1='Input Tables'!$BA$68, AJ1='Input Tables'!$BB$68,AJ1='Input Tables'!$BC$68, AJ1='Input Tables'!$BD$68,AJ1='Input Tables'!$BE$68,AJ1='Input Tables'!$BF$68,AJ1='Input Tables'!$BG$68,AJ1='Input Tables'!$BH$68,AJ1='Input Tables'!$BI$68,AJ1='Input Tables'!$BJ$68,AJ1='Input Tables'!$BK$68, AJ1='Input Tables'!$BL$68,'Input Tables'!$BM$68),('Cost Budgets'!$G$16*AJ6),0)</f>
        <v>0</v>
      </c>
      <c r="AK50" s="30">
        <f>IF(OR(AK1='Input Tables'!$BA$68, AK1='Input Tables'!$BB$68,AK1='Input Tables'!$BC$68, AK1='Input Tables'!$BD$68,AK1='Input Tables'!$BE$68,AK1='Input Tables'!$BF$68,AK1='Input Tables'!$BG$68,AK1='Input Tables'!$BH$68,AK1='Input Tables'!$BI$68,AK1='Input Tables'!$BJ$68,AK1='Input Tables'!$BK$68, AK1='Input Tables'!$BL$68,'Input Tables'!$BM$68),('Cost Budgets'!$G$16*AK6),0)</f>
        <v>0</v>
      </c>
      <c r="AL50" s="30">
        <f>IF(OR(AL1='Input Tables'!$BA$68, AL1='Input Tables'!$BB$68,AL1='Input Tables'!$BC$68, AL1='Input Tables'!$BD$68,AL1='Input Tables'!$BE$68,AL1='Input Tables'!$BF$68,AL1='Input Tables'!$BG$68,AL1='Input Tables'!$BH$68,AL1='Input Tables'!$BI$68,AL1='Input Tables'!$BJ$68,AL1='Input Tables'!$BK$68, AL1='Input Tables'!$BL$68,'Input Tables'!$BM$68),('Cost Budgets'!$G$16*AL6),0)</f>
        <v>0</v>
      </c>
      <c r="AM50" s="30">
        <f>IF(OR(AM1='Input Tables'!$BA$68, AM1='Input Tables'!$BB$68,AM1='Input Tables'!$BC$68, AM1='Input Tables'!$BD$68,AM1='Input Tables'!$BE$68,AM1='Input Tables'!$BF$68,AM1='Input Tables'!$BG$68,AM1='Input Tables'!$BH$68,AM1='Input Tables'!$BI$68,AM1='Input Tables'!$BJ$68,AM1='Input Tables'!$BK$68, AM1='Input Tables'!$BL$68,'Input Tables'!$BM$68),('Cost Budgets'!$G$16*AM6),0)</f>
        <v>0</v>
      </c>
      <c r="AN50" s="30">
        <f>IF(OR(AN1='Input Tables'!$BA$68, AN1='Input Tables'!$BB$68,AN1='Input Tables'!$BC$68, AN1='Input Tables'!$BD$68,AN1='Input Tables'!$BE$68,AN1='Input Tables'!$BF$68,AN1='Input Tables'!$BG$68,AN1='Input Tables'!$BH$68,AN1='Input Tables'!$BI$68,AN1='Input Tables'!$BJ$68,AN1='Input Tables'!$BK$68, AN1='Input Tables'!$BL$68,'Input Tables'!$BM$68),('Cost Budgets'!$G$16*AN6),0)</f>
        <v>0</v>
      </c>
      <c r="AO50" s="30">
        <f>IF(OR(AO1='Input Tables'!$BA$68, AO1='Input Tables'!$BB$68,AO1='Input Tables'!$BC$68, AO1='Input Tables'!$BD$68,AO1='Input Tables'!$BE$68,AO1='Input Tables'!$BF$68,AO1='Input Tables'!$BG$68,AO1='Input Tables'!$BH$68,AO1='Input Tables'!$BI$68,AO1='Input Tables'!$BJ$68,AO1='Input Tables'!$BK$68, AO1='Input Tables'!$BL$68,'Input Tables'!$BM$68),('Cost Budgets'!$G$16*AO6),0)</f>
        <v>0</v>
      </c>
      <c r="AP50" s="30">
        <f>IF(OR(AP1='Input Tables'!$BA$68, AP1='Input Tables'!$BB$68,AP1='Input Tables'!$BC$68, AP1='Input Tables'!$BD$68,AP1='Input Tables'!$BE$68,AP1='Input Tables'!$BF$68,AP1='Input Tables'!$BG$68,AP1='Input Tables'!$BH$68,AP1='Input Tables'!$BI$68,AP1='Input Tables'!$BJ$68,AP1='Input Tables'!$BK$68, AP1='Input Tables'!$BL$68,'Input Tables'!$BM$68),('Cost Budgets'!$G$16*AP6),0)</f>
        <v>0</v>
      </c>
      <c r="AQ50" s="30">
        <f>IF(OR(AQ1='Input Tables'!$BA$68, AQ1='Input Tables'!$BB$68,AQ1='Input Tables'!$BC$68, AQ1='Input Tables'!$BD$68,AQ1='Input Tables'!$BE$68,AQ1='Input Tables'!$BF$68,AQ1='Input Tables'!$BG$68,AQ1='Input Tables'!$BH$68,AQ1='Input Tables'!$BI$68,AQ1='Input Tables'!$BJ$68,AQ1='Input Tables'!$BK$68, AQ1='Input Tables'!$BL$68,'Input Tables'!$BM$68),('Cost Budgets'!$G$16*AQ6),0)</f>
        <v>0</v>
      </c>
      <c r="AR50" s="30">
        <f>IF(OR(AR1='Input Tables'!$BA$68, AR1='Input Tables'!$BB$68,AR1='Input Tables'!$BC$68, AR1='Input Tables'!$BD$68,AR1='Input Tables'!$BE$68,AR1='Input Tables'!$BF$68,AR1='Input Tables'!$BG$68,AR1='Input Tables'!$BH$68,AR1='Input Tables'!$BI$68,AR1='Input Tables'!$BJ$68,AR1='Input Tables'!$BK$68, AR1='Input Tables'!$BL$68,'Input Tables'!$BM$68),('Cost Budgets'!$G$16*AR6),0)</f>
        <v>0</v>
      </c>
      <c r="AS50" s="30">
        <f>IF(OR(AS1='Input Tables'!$BA$68, AS1='Input Tables'!$BB$68,AS1='Input Tables'!$BC$68, AS1='Input Tables'!$BD$68,AS1='Input Tables'!$BE$68,AS1='Input Tables'!$BF$68,AS1='Input Tables'!$BG$68,AS1='Input Tables'!$BH$68,AS1='Input Tables'!$BI$68,AS1='Input Tables'!$BJ$68,AS1='Input Tables'!$BK$68, AS1='Input Tables'!$BL$68,'Input Tables'!$BM$68),('Cost Budgets'!$G$16*AS6),0)</f>
        <v>0</v>
      </c>
      <c r="AT50" s="30">
        <f>IF(OR(AT1='Input Tables'!$BA$68, AT1='Input Tables'!$BB$68,AT1='Input Tables'!$BC$68, AT1='Input Tables'!$BD$68,AT1='Input Tables'!$BE$68,AT1='Input Tables'!$BF$68,AT1='Input Tables'!$BG$68,AT1='Input Tables'!$BH$68,AT1='Input Tables'!$BI$68,AT1='Input Tables'!$BJ$68,AT1='Input Tables'!$BK$68, AT1='Input Tables'!$BL$68,'Input Tables'!$BM$68),('Cost Budgets'!$G$16*AT6),0)</f>
        <v>0</v>
      </c>
      <c r="AU50" s="30">
        <f>IF(OR(AU1='Input Tables'!$BA$68, AU1='Input Tables'!$BB$68,AU1='Input Tables'!$BC$68, AU1='Input Tables'!$BD$68,AU1='Input Tables'!$BE$68,AU1='Input Tables'!$BF$68,AU1='Input Tables'!$BG$68,AU1='Input Tables'!$BH$68,AU1='Input Tables'!$BI$68,AU1='Input Tables'!$BJ$68,AU1='Input Tables'!$BK$68, AU1='Input Tables'!$BL$68,'Input Tables'!$BM$68),('Cost Budgets'!$G$16*AU6),0)</f>
        <v>0</v>
      </c>
      <c r="AV50" s="30">
        <f>IF(OR(AV1='Input Tables'!$BA$68, AV1='Input Tables'!$BB$68,AV1='Input Tables'!$BC$68, AV1='Input Tables'!$BD$68,AV1='Input Tables'!$BE$68,AV1='Input Tables'!$BF$68,AV1='Input Tables'!$BG$68,AV1='Input Tables'!$BH$68,AV1='Input Tables'!$BI$68,AV1='Input Tables'!$BJ$68,AV1='Input Tables'!$BK$68, AV1='Input Tables'!$BL$68,'Input Tables'!$BM$68),('Cost Budgets'!$G$16*AV6),0)</f>
        <v>0</v>
      </c>
      <c r="AW50" s="30">
        <f>IF(OR(AW1='Input Tables'!$BA$68, AW1='Input Tables'!$BB$68,AW1='Input Tables'!$BC$68, AW1='Input Tables'!$BD$68,AW1='Input Tables'!$BE$68,AW1='Input Tables'!$BF$68,AW1='Input Tables'!$BG$68,AW1='Input Tables'!$BH$68,AW1='Input Tables'!$BI$68,AW1='Input Tables'!$BJ$68,AW1='Input Tables'!$BK$68, AW1='Input Tables'!$BL$68,'Input Tables'!$BM$68),('Cost Budgets'!$G$16*AW6),0)</f>
        <v>0</v>
      </c>
      <c r="AX50" s="30">
        <f>IF(OR(AX1='Input Tables'!$BA$68, AX1='Input Tables'!$BB$68,AX1='Input Tables'!$BC$68, AX1='Input Tables'!$BD$68,AX1='Input Tables'!$BE$68,AX1='Input Tables'!$BF$68,AX1='Input Tables'!$BG$68,AX1='Input Tables'!$BH$68,AX1='Input Tables'!$BI$68,AX1='Input Tables'!$BJ$68,AX1='Input Tables'!$BK$68, AX1='Input Tables'!$BL$68,'Input Tables'!$BM$68),('Cost Budgets'!$G$16*AX6),0)</f>
        <v>0</v>
      </c>
      <c r="AY50" s="30">
        <f>IF(OR(AY1='Input Tables'!$BA$68, AY1='Input Tables'!$BB$68,AY1='Input Tables'!$BC$68, AY1='Input Tables'!$BD$68,AY1='Input Tables'!$BE$68,AY1='Input Tables'!$BF$68,AY1='Input Tables'!$BG$68,AY1='Input Tables'!$BH$68,AY1='Input Tables'!$BI$68,AY1='Input Tables'!$BJ$68,AY1='Input Tables'!$BK$68, AY1='Input Tables'!$BL$68,'Input Tables'!$BM$68),('Cost Budgets'!$G$16*AY6),0)</f>
        <v>0</v>
      </c>
      <c r="AZ50" s="30">
        <f>IF(OR(AZ1='Input Tables'!$BA$68, AZ1='Input Tables'!$BB$68,AZ1='Input Tables'!$BC$68, AZ1='Input Tables'!$BD$68,AZ1='Input Tables'!$BE$68,AZ1='Input Tables'!$BF$68,AZ1='Input Tables'!$BG$68,AZ1='Input Tables'!$BH$68,AZ1='Input Tables'!$BI$68,AZ1='Input Tables'!$BJ$68,AZ1='Input Tables'!$BK$68, AZ1='Input Tables'!$BL$68,'Input Tables'!$BM$68),('Cost Budgets'!$G$16*AZ6),0)</f>
        <v>0</v>
      </c>
      <c r="BA50" s="30">
        <f>IF(OR(BA1='Input Tables'!$BA$68, BA1='Input Tables'!$BB$68,BA1='Input Tables'!$BC$68, BA1='Input Tables'!$BD$68,BA1='Input Tables'!$BE$68,BA1='Input Tables'!$BF$68,BA1='Input Tables'!$BG$68,BA1='Input Tables'!$BH$68,BA1='Input Tables'!$BI$68,BA1='Input Tables'!$BJ$68,BA1='Input Tables'!$BK$68, BA1='Input Tables'!$BL$68,'Input Tables'!$BM$68),('Cost Budgets'!$G$16*BA6),0)</f>
        <v>0</v>
      </c>
      <c r="BB50" s="30">
        <f>IF(OR(BB1='Input Tables'!$BA$68, BB1='Input Tables'!$BB$68,BB1='Input Tables'!$BC$68, BB1='Input Tables'!$BD$68,BB1='Input Tables'!$BE$68,BB1='Input Tables'!$BF$68,BB1='Input Tables'!$BG$68,BB1='Input Tables'!$BH$68,BB1='Input Tables'!$BI$68,BB1='Input Tables'!$BJ$68,BB1='Input Tables'!$BK$68, BB1='Input Tables'!$BL$68,'Input Tables'!$BM$68),('Cost Budgets'!$G$16*BB6),0)</f>
        <v>0</v>
      </c>
      <c r="BC50" s="30">
        <f>IF(OR(BC1='Input Tables'!$BA$68, BC1='Input Tables'!$BB$68,BC1='Input Tables'!$BC$68, BC1='Input Tables'!$BD$68,BC1='Input Tables'!$BE$68,BC1='Input Tables'!$BF$68,BC1='Input Tables'!$BG$68,BC1='Input Tables'!$BH$68,BC1='Input Tables'!$BI$68,BC1='Input Tables'!$BJ$68,BC1='Input Tables'!$BK$68, BC1='Input Tables'!$BL$68,'Input Tables'!$BM$68),('Cost Budgets'!$G$16*BC6),0)</f>
        <v>0</v>
      </c>
      <c r="BD50" s="30">
        <f>IF(OR(BD1='Input Tables'!$BA$68, BD1='Input Tables'!$BB$68,BD1='Input Tables'!$BC$68, BD1='Input Tables'!$BD$68,BD1='Input Tables'!$BE$68,BD1='Input Tables'!$BF$68,BD1='Input Tables'!$BG$68,BD1='Input Tables'!$BH$68,BD1='Input Tables'!$BI$68,BD1='Input Tables'!$BJ$68,BD1='Input Tables'!$BK$68, BD1='Input Tables'!$BL$68,'Input Tables'!$BM$68),('Cost Budgets'!$G$16*BD6),0)</f>
        <v>0</v>
      </c>
      <c r="BE50" s="30">
        <f>IF(OR(BE1='Input Tables'!$BA$68, BE1='Input Tables'!$BB$68,BE1='Input Tables'!$BC$68, BE1='Input Tables'!$BD$68,BE1='Input Tables'!$BE$68,BE1='Input Tables'!$BF$68,BE1='Input Tables'!$BG$68,BE1='Input Tables'!$BH$68,BE1='Input Tables'!$BI$68,BE1='Input Tables'!$BJ$68,BE1='Input Tables'!$BK$68, BE1='Input Tables'!$BL$68,'Input Tables'!$BM$68),('Cost Budgets'!$G$16*BE6),0)</f>
        <v>0</v>
      </c>
      <c r="BF50" s="30">
        <f>IF(OR(BF1='Input Tables'!$BA$68, BF1='Input Tables'!$BB$68,BF1='Input Tables'!$BC$68, BF1='Input Tables'!$BD$68,BF1='Input Tables'!$BE$68,BF1='Input Tables'!$BF$68,BF1='Input Tables'!$BG$68,BF1='Input Tables'!$BH$68,BF1='Input Tables'!$BI$68,BF1='Input Tables'!$BJ$68,BF1='Input Tables'!$BK$68, BF1='Input Tables'!$BL$68,'Input Tables'!$BM$68),('Cost Budgets'!$G$16*BF6),0)</f>
        <v>0</v>
      </c>
      <c r="BG50" s="30">
        <f>IF(OR(BG1='Input Tables'!$BA$68, BG1='Input Tables'!$BB$68,BG1='Input Tables'!$BC$68, BG1='Input Tables'!$BD$68,BG1='Input Tables'!$BE$68,BG1='Input Tables'!$BF$68,BG1='Input Tables'!$BG$68,BG1='Input Tables'!$BH$68,BG1='Input Tables'!$BI$68,BG1='Input Tables'!$BJ$68,BG1='Input Tables'!$BK$68, BG1='Input Tables'!$BL$68,'Input Tables'!$BM$68),('Cost Budgets'!$G$16*BG6),0)</f>
        <v>0</v>
      </c>
      <c r="BH50" s="30">
        <f>IF(OR(BH1='Input Tables'!$BA$68, BH1='Input Tables'!$BB$68,BH1='Input Tables'!$BC$68, BH1='Input Tables'!$BD$68,BH1='Input Tables'!$BE$68,BH1='Input Tables'!$BF$68,BH1='Input Tables'!$BG$68,BH1='Input Tables'!$BH$68,BH1='Input Tables'!$BI$68,BH1='Input Tables'!$BJ$68,BH1='Input Tables'!$BK$68, BH1='Input Tables'!$BL$68,'Input Tables'!$BM$68),('Cost Budgets'!$G$16*BH6),0)</f>
        <v>0</v>
      </c>
      <c r="BI50" s="30">
        <f>IF(OR(BI1='Input Tables'!$BA$68, BI1='Input Tables'!$BB$68,BI1='Input Tables'!$BC$68, BI1='Input Tables'!$BD$68,BI1='Input Tables'!$BE$68,BI1='Input Tables'!$BF$68,BI1='Input Tables'!$BG$68,BI1='Input Tables'!$BH$68,BI1='Input Tables'!$BI$68,BI1='Input Tables'!$BJ$68,BI1='Input Tables'!$BK$68, BI1='Input Tables'!$BL$68,'Input Tables'!$BM$68),('Cost Budgets'!$G$16*BI6),0)</f>
        <v>0</v>
      </c>
      <c r="BJ50" s="30">
        <f>IF(OR(BJ1='Input Tables'!$BA$68, BJ1='Input Tables'!$BB$68,BJ1='Input Tables'!$BC$68, BJ1='Input Tables'!$BD$68,BJ1='Input Tables'!$BE$68,BJ1='Input Tables'!$BF$68,BJ1='Input Tables'!$BG$68,BJ1='Input Tables'!$BH$68,BJ1='Input Tables'!$BI$68,BJ1='Input Tables'!$BJ$68,BJ1='Input Tables'!$BK$68, BJ1='Input Tables'!$BL$68,'Input Tables'!$BM$68),('Cost Budgets'!$G$16*BJ6),0)</f>
        <v>0</v>
      </c>
      <c r="BK50" s="30">
        <f>IF(OR(BK1='Input Tables'!$BA$68, BK1='Input Tables'!$BB$68,BK1='Input Tables'!$BC$68, BK1='Input Tables'!$BD$68,BK1='Input Tables'!$BE$68,BK1='Input Tables'!$BF$68,BK1='Input Tables'!$BG$68,BK1='Input Tables'!$BH$68,BK1='Input Tables'!$BI$68,BK1='Input Tables'!$BJ$68,BK1='Input Tables'!$BK$68, BK1='Input Tables'!$BL$68,'Input Tables'!$BM$68),('Cost Budgets'!$G$16*BK6),0)</f>
        <v>0</v>
      </c>
    </row>
    <row r="51" spans="1:63" x14ac:dyDescent="0.35">
      <c r="A51" s="188"/>
    </row>
    <row r="52" spans="1:63" x14ac:dyDescent="0.35">
      <c r="A52" s="188"/>
      <c r="B52" t="s">
        <v>28</v>
      </c>
      <c r="E52" s="30">
        <f>IFERROR(IF(OR(E1='Input Tables'!$BA$76, E1='Input Tables'!$BB$76,E1='Input Tables'!$BC$76, E1='Input Tables'!$BD$76,E1='Input Tables'!$BE$76,E1='Input Tables'!$BF$76,E1='Input Tables'!$BG$76,E1='Input Tables'!$BH$76,E1='Input Tables'!$BI$76,E1='Input Tables'!$BJ$76,E1='Input Tables'!$BK$76, E1='Input Tables'!$BL$76,'Input Tables'!$BM$76),('Cost Budgets'!$G$17*E6),0),0)</f>
        <v>349.44</v>
      </c>
      <c r="F52" s="30">
        <f>IFERROR(IF(OR(F1='Input Tables'!$BA$76, F1='Input Tables'!$BB$76,F1='Input Tables'!$BC$76, F1='Input Tables'!$BD$76,F1='Input Tables'!$BE$76,F1='Input Tables'!$BF$76,F1='Input Tables'!$BG$76,F1='Input Tables'!$BH$76,F1='Input Tables'!$BI$76,F1='Input Tables'!$BJ$76,F1='Input Tables'!$BK$76, F1='Input Tables'!$BL$76,'Input Tables'!$BM$76),('Cost Budgets'!$G$17*F6),0),0)</f>
        <v>0</v>
      </c>
      <c r="G52" s="30">
        <f>IFERROR(IF(OR(G1='Input Tables'!$BA$76, G1='Input Tables'!$BB$76,G1='Input Tables'!$BC$76, G1='Input Tables'!$BD$76,G1='Input Tables'!$BE$76,G1='Input Tables'!$BF$76,G1='Input Tables'!$BG$76,G1='Input Tables'!$BH$76,G1='Input Tables'!$BI$76,G1='Input Tables'!$BJ$76,G1='Input Tables'!$BK$76, G1='Input Tables'!$BL$76,'Input Tables'!$BM$76),('Cost Budgets'!$G$17*G6),0),0)</f>
        <v>0</v>
      </c>
      <c r="H52" s="30">
        <f ca="1">IFERROR(IF(OR(H1='Input Tables'!$BA$76, H1='Input Tables'!$BB$76,H1='Input Tables'!$BC$76, H1='Input Tables'!$BD$76,H1='Input Tables'!$BE$76,H1='Input Tables'!$BF$76,H1='Input Tables'!$BG$76,H1='Input Tables'!$BH$76,H1='Input Tables'!$BI$76,H1='Input Tables'!$BJ$76,H1='Input Tables'!$BK$76, H1='Input Tables'!$BL$76,'Input Tables'!$BM$76),('Cost Budgets'!$G$17*H6),0),0)</f>
        <v>335.00033057851243</v>
      </c>
      <c r="I52" s="30">
        <f>IFERROR(IF(OR(I1='Input Tables'!$BA$76, I1='Input Tables'!$BB$76,I1='Input Tables'!$BC$76, I1='Input Tables'!$BD$76,I1='Input Tables'!$BE$76,I1='Input Tables'!$BF$76,I1='Input Tables'!$BG$76,I1='Input Tables'!$BH$76,I1='Input Tables'!$BI$76,I1='Input Tables'!$BJ$76,I1='Input Tables'!$BK$76, I1='Input Tables'!$BL$76,'Input Tables'!$BM$76),('Cost Budgets'!$G$17*I6),0),0)</f>
        <v>0</v>
      </c>
      <c r="J52" s="30">
        <f>IFERROR(IF(OR(J1='Input Tables'!$BA$76, J1='Input Tables'!$BB$76,J1='Input Tables'!$BC$76, J1='Input Tables'!$BD$76,J1='Input Tables'!$BE$76,J1='Input Tables'!$BF$76,J1='Input Tables'!$BG$76,J1='Input Tables'!$BH$76,J1='Input Tables'!$BI$76,J1='Input Tables'!$BJ$76,J1='Input Tables'!$BK$76, J1='Input Tables'!$BL$76,'Input Tables'!$BM$76),('Cost Budgets'!$G$17*J6),0),0)</f>
        <v>0</v>
      </c>
      <c r="K52" s="30">
        <f ca="1">IFERROR(IF(OR(K1='Input Tables'!$BA$76, K1='Input Tables'!$BB$76,K1='Input Tables'!$BC$76, K1='Input Tables'!$BD$76,K1='Input Tables'!$BE$76,K1='Input Tables'!$BF$76,K1='Input Tables'!$BG$76,K1='Input Tables'!$BH$76,K1='Input Tables'!$BI$76,K1='Input Tables'!$BJ$76,K1='Input Tables'!$BK$76, K1='Input Tables'!$BL$76,'Input Tables'!$BM$76),('Cost Budgets'!$G$17*K6),0),0)</f>
        <v>298.90115702479341</v>
      </c>
      <c r="L52" s="30">
        <f>IFERROR(IF(OR(L1='Input Tables'!$BA$76, L1='Input Tables'!$BB$76,L1='Input Tables'!$BC$76, L1='Input Tables'!$BD$76,L1='Input Tables'!$BE$76,L1='Input Tables'!$BF$76,L1='Input Tables'!$BG$76,L1='Input Tables'!$BH$76,L1='Input Tables'!$BI$76,L1='Input Tables'!$BJ$76,L1='Input Tables'!$BK$76, L1='Input Tables'!$BL$76,'Input Tables'!$BM$76),('Cost Budgets'!$G$17*L6),0),0)</f>
        <v>0</v>
      </c>
      <c r="M52" s="30">
        <f>IFERROR(IF(OR(M1='Input Tables'!$BA$76, M1='Input Tables'!$BB$76,M1='Input Tables'!$BC$76, M1='Input Tables'!$BD$76,M1='Input Tables'!$BE$76,M1='Input Tables'!$BF$76,M1='Input Tables'!$BG$76,M1='Input Tables'!$BH$76,M1='Input Tables'!$BI$76,M1='Input Tables'!$BJ$76,M1='Input Tables'!$BK$76, M1='Input Tables'!$BL$76,'Input Tables'!$BM$76),('Cost Budgets'!$G$17*M6),0),0)</f>
        <v>0</v>
      </c>
      <c r="N52" s="30">
        <f ca="1">IFERROR(IF(OR(N1='Input Tables'!$BA$76, N1='Input Tables'!$BB$76,N1='Input Tables'!$BC$76, N1='Input Tables'!$BD$76,N1='Input Tables'!$BE$76,N1='Input Tables'!$BF$76,N1='Input Tables'!$BG$76,N1='Input Tables'!$BH$76,N1='Input Tables'!$BI$76,N1='Input Tables'!$BJ$76,N1='Input Tables'!$BK$76, N1='Input Tables'!$BL$76,'Input Tables'!$BM$76),('Cost Budgets'!$G$17*N6),0),0)</f>
        <v>255.5821487603306</v>
      </c>
      <c r="O52" s="30">
        <f>IFERROR(IF(OR(O1='Input Tables'!$BA$76, O1='Input Tables'!$BB$76,O1='Input Tables'!$BC$76, O1='Input Tables'!$BD$76,O1='Input Tables'!$BE$76,O1='Input Tables'!$BF$76,O1='Input Tables'!$BG$76,O1='Input Tables'!$BH$76,O1='Input Tables'!$BI$76,O1='Input Tables'!$BJ$76,O1='Input Tables'!$BK$76, O1='Input Tables'!$BL$76,'Input Tables'!$BM$76),('Cost Budgets'!$G$17*O6),0),0)</f>
        <v>0</v>
      </c>
      <c r="P52" s="30">
        <f>IFERROR(IF(OR(P1='Input Tables'!$BA$76, P1='Input Tables'!$BB$76,P1='Input Tables'!$BC$76, P1='Input Tables'!$BD$76,P1='Input Tables'!$BE$76,P1='Input Tables'!$BF$76,P1='Input Tables'!$BG$76,P1='Input Tables'!$BH$76,P1='Input Tables'!$BI$76,P1='Input Tables'!$BJ$76,P1='Input Tables'!$BK$76, P1='Input Tables'!$BL$76,'Input Tables'!$BM$76),('Cost Budgets'!$G$17*P6),0),0)</f>
        <v>0</v>
      </c>
      <c r="Q52" s="30">
        <f ca="1">IFERROR(IF(OR(Q1='Input Tables'!$BA$76, Q1='Input Tables'!$BB$76,Q1='Input Tables'!$BC$76, Q1='Input Tables'!$BD$76,Q1='Input Tables'!$BE$76,Q1='Input Tables'!$BF$76,Q1='Input Tables'!$BG$76,Q1='Input Tables'!$BH$76,Q1='Input Tables'!$BI$76,Q1='Input Tables'!$BJ$76,Q1='Input Tables'!$BK$76, Q1='Input Tables'!$BL$76,'Input Tables'!$BM$76),('Cost Budgets'!$G$17*Q6),0),0)</f>
        <v>255.5821487603306</v>
      </c>
      <c r="R52" s="30">
        <f>IFERROR(IF(OR(R1='Input Tables'!$BA$76, R1='Input Tables'!$BB$76,R1='Input Tables'!$BC$76, R1='Input Tables'!$BD$76,R1='Input Tables'!$BE$76,R1='Input Tables'!$BF$76,R1='Input Tables'!$BG$76,R1='Input Tables'!$BH$76,R1='Input Tables'!$BI$76,R1='Input Tables'!$BJ$76,R1='Input Tables'!$BK$76, R1='Input Tables'!$BL$76,'Input Tables'!$BM$76),('Cost Budgets'!$G$17*R6),0),0)</f>
        <v>0</v>
      </c>
      <c r="S52" s="30">
        <f>IFERROR(IF(OR(S1='Input Tables'!$BA$76, S1='Input Tables'!$BB$76,S1='Input Tables'!$BC$76, S1='Input Tables'!$BD$76,S1='Input Tables'!$BE$76,S1='Input Tables'!$BF$76,S1='Input Tables'!$BG$76,S1='Input Tables'!$BH$76,S1='Input Tables'!$BI$76,S1='Input Tables'!$BJ$76,S1='Input Tables'!$BK$76, S1='Input Tables'!$BL$76,'Input Tables'!$BM$76),('Cost Budgets'!$G$17*S6),0),0)</f>
        <v>0</v>
      </c>
      <c r="T52" s="30">
        <f>IFERROR(IF(OR(T1='Input Tables'!$BA$76, T1='Input Tables'!$BB$76,T1='Input Tables'!$BC$76, T1='Input Tables'!$BD$76,T1='Input Tables'!$BE$76,T1='Input Tables'!$BF$76,T1='Input Tables'!$BG$76,T1='Input Tables'!$BH$76,T1='Input Tables'!$BI$76,T1='Input Tables'!$BJ$76,T1='Input Tables'!$BK$76, T1='Input Tables'!$BL$76,'Input Tables'!$BM$76),('Cost Budgets'!$G$17*T6),0),0)</f>
        <v>0</v>
      </c>
      <c r="U52" s="30">
        <f>IFERROR(IF(OR(U1='Input Tables'!$BA$76, U1='Input Tables'!$BB$76,U1='Input Tables'!$BC$76, U1='Input Tables'!$BD$76,U1='Input Tables'!$BE$76,U1='Input Tables'!$BF$76,U1='Input Tables'!$BG$76,U1='Input Tables'!$BH$76,U1='Input Tables'!$BI$76,U1='Input Tables'!$BJ$76,U1='Input Tables'!$BK$76, U1='Input Tables'!$BL$76,'Input Tables'!$BM$76),('Cost Budgets'!$G$17*U6),0),0)</f>
        <v>0</v>
      </c>
      <c r="V52" s="30">
        <f>IFERROR(IF(OR(V1='Input Tables'!$BA$76, V1='Input Tables'!$BB$76,V1='Input Tables'!$BC$76, V1='Input Tables'!$BD$76,V1='Input Tables'!$BE$76,V1='Input Tables'!$BF$76,V1='Input Tables'!$BG$76,V1='Input Tables'!$BH$76,V1='Input Tables'!$BI$76,V1='Input Tables'!$BJ$76,V1='Input Tables'!$BK$76, V1='Input Tables'!$BL$76,'Input Tables'!$BM$76),('Cost Budgets'!$G$17*V6),0),0)</f>
        <v>0</v>
      </c>
      <c r="W52" s="30">
        <f>IFERROR(IF(OR(W1='Input Tables'!$BA$76, W1='Input Tables'!$BB$76,W1='Input Tables'!$BC$76, W1='Input Tables'!$BD$76,W1='Input Tables'!$BE$76,W1='Input Tables'!$BF$76,W1='Input Tables'!$BG$76,W1='Input Tables'!$BH$76,W1='Input Tables'!$BI$76,W1='Input Tables'!$BJ$76,W1='Input Tables'!$BK$76, W1='Input Tables'!$BL$76,'Input Tables'!$BM$76),('Cost Budgets'!$G$17*W6),0),0)</f>
        <v>0</v>
      </c>
      <c r="X52" s="30">
        <f>IFERROR(IF(OR(X1='Input Tables'!$BA$76, X1='Input Tables'!$BB$76,X1='Input Tables'!$BC$76, X1='Input Tables'!$BD$76,X1='Input Tables'!$BE$76,X1='Input Tables'!$BF$76,X1='Input Tables'!$BG$76,X1='Input Tables'!$BH$76,X1='Input Tables'!$BI$76,X1='Input Tables'!$BJ$76,X1='Input Tables'!$BK$76, X1='Input Tables'!$BL$76,'Input Tables'!$BM$76),('Cost Budgets'!$G$17*X6),0),0)</f>
        <v>0</v>
      </c>
      <c r="Y52" s="30">
        <f>IFERROR(IF(OR(Y1='Input Tables'!$BA$76, Y1='Input Tables'!$BB$76,Y1='Input Tables'!$BC$76, Y1='Input Tables'!$BD$76,Y1='Input Tables'!$BE$76,Y1='Input Tables'!$BF$76,Y1='Input Tables'!$BG$76,Y1='Input Tables'!$BH$76,Y1='Input Tables'!$BI$76,Y1='Input Tables'!$BJ$76,Y1='Input Tables'!$BK$76, Y1='Input Tables'!$BL$76,'Input Tables'!$BM$76),('Cost Budgets'!$G$17*Y6),0),0)</f>
        <v>0</v>
      </c>
      <c r="Z52" s="30">
        <f>IFERROR(IF(OR(Z1='Input Tables'!$BA$76, Z1='Input Tables'!$BB$76,Z1='Input Tables'!$BC$76, Z1='Input Tables'!$BD$76,Z1='Input Tables'!$BE$76,Z1='Input Tables'!$BF$76,Z1='Input Tables'!$BG$76,Z1='Input Tables'!$BH$76,Z1='Input Tables'!$BI$76,Z1='Input Tables'!$BJ$76,Z1='Input Tables'!$BK$76, Z1='Input Tables'!$BL$76,'Input Tables'!$BM$76),('Cost Budgets'!$G$17*Z6),0),0)</f>
        <v>0</v>
      </c>
      <c r="AA52" s="30">
        <f>IFERROR(IF(OR(AA1='Input Tables'!$BA$76, AA1='Input Tables'!$BB$76,AA1='Input Tables'!$BC$76, AA1='Input Tables'!$BD$76,AA1='Input Tables'!$BE$76,AA1='Input Tables'!$BF$76,AA1='Input Tables'!$BG$76,AA1='Input Tables'!$BH$76,AA1='Input Tables'!$BI$76,AA1='Input Tables'!$BJ$76,AA1='Input Tables'!$BK$76, AA1='Input Tables'!$BL$76,'Input Tables'!$BM$76),('Cost Budgets'!$G$17*AA6),0),0)</f>
        <v>0</v>
      </c>
      <c r="AB52" s="30">
        <f>IFERROR(IF(OR(AB1='Input Tables'!$BA$76, AB1='Input Tables'!$BB$76,AB1='Input Tables'!$BC$76, AB1='Input Tables'!$BD$76,AB1='Input Tables'!$BE$76,AB1='Input Tables'!$BF$76,AB1='Input Tables'!$BG$76,AB1='Input Tables'!$BH$76,AB1='Input Tables'!$BI$76,AB1='Input Tables'!$BJ$76,AB1='Input Tables'!$BK$76, AB1='Input Tables'!$BL$76,'Input Tables'!$BM$76),('Cost Budgets'!$G$17*AB6),0),0)</f>
        <v>0</v>
      </c>
      <c r="AC52" s="30">
        <f>IFERROR(IF(OR(AC1='Input Tables'!$BA$76, AC1='Input Tables'!$BB$76,AC1='Input Tables'!$BC$76, AC1='Input Tables'!$BD$76,AC1='Input Tables'!$BE$76,AC1='Input Tables'!$BF$76,AC1='Input Tables'!$BG$76,AC1='Input Tables'!$BH$76,AC1='Input Tables'!$BI$76,AC1='Input Tables'!$BJ$76,AC1='Input Tables'!$BK$76, AC1='Input Tables'!$BL$76,'Input Tables'!$BM$76),('Cost Budgets'!$G$17*AC6),0),0)</f>
        <v>0</v>
      </c>
      <c r="AD52" s="30">
        <f>IFERROR(IF(OR(AD1='Input Tables'!$BA$76, AD1='Input Tables'!$BB$76,AD1='Input Tables'!$BC$76, AD1='Input Tables'!$BD$76,AD1='Input Tables'!$BE$76,AD1='Input Tables'!$BF$76,AD1='Input Tables'!$BG$76,AD1='Input Tables'!$BH$76,AD1='Input Tables'!$BI$76,AD1='Input Tables'!$BJ$76,AD1='Input Tables'!$BK$76, AD1='Input Tables'!$BL$76,'Input Tables'!$BM$76),('Cost Budgets'!$G$17*AD6),0),0)</f>
        <v>0</v>
      </c>
      <c r="AE52" s="30">
        <f>IFERROR(IF(OR(AE1='Input Tables'!$BA$76, AE1='Input Tables'!$BB$76,AE1='Input Tables'!$BC$76, AE1='Input Tables'!$BD$76,AE1='Input Tables'!$BE$76,AE1='Input Tables'!$BF$76,AE1='Input Tables'!$BG$76,AE1='Input Tables'!$BH$76,AE1='Input Tables'!$BI$76,AE1='Input Tables'!$BJ$76,AE1='Input Tables'!$BK$76, AE1='Input Tables'!$BL$76,'Input Tables'!$BM$76),('Cost Budgets'!$G$17*AE6),0),0)</f>
        <v>0</v>
      </c>
      <c r="AF52" s="30">
        <f>IFERROR(IF(OR(AF1='Input Tables'!$BA$76, AF1='Input Tables'!$BB$76,AF1='Input Tables'!$BC$76, AF1='Input Tables'!$BD$76,AF1='Input Tables'!$BE$76,AF1='Input Tables'!$BF$76,AF1='Input Tables'!$BG$76,AF1='Input Tables'!$BH$76,AF1='Input Tables'!$BI$76,AF1='Input Tables'!$BJ$76,AF1='Input Tables'!$BK$76, AF1='Input Tables'!$BL$76,'Input Tables'!$BM$76),('Cost Budgets'!$G$17*AF6),0),0)</f>
        <v>0</v>
      </c>
      <c r="AG52" s="30">
        <f>IFERROR(IF(OR(AG1='Input Tables'!$BA$76, AG1='Input Tables'!$BB$76,AG1='Input Tables'!$BC$76, AG1='Input Tables'!$BD$76,AG1='Input Tables'!$BE$76,AG1='Input Tables'!$BF$76,AG1='Input Tables'!$BG$76,AG1='Input Tables'!$BH$76,AG1='Input Tables'!$BI$76,AG1='Input Tables'!$BJ$76,AG1='Input Tables'!$BK$76, AG1='Input Tables'!$BL$76,'Input Tables'!$BM$76),('Cost Budgets'!$G$17*AG6),0),0)</f>
        <v>0</v>
      </c>
      <c r="AH52" s="30">
        <f>IFERROR(IF(OR(AH1='Input Tables'!$BA$76, AH1='Input Tables'!$BB$76,AH1='Input Tables'!$BC$76, AH1='Input Tables'!$BD$76,AH1='Input Tables'!$BE$76,AH1='Input Tables'!$BF$76,AH1='Input Tables'!$BG$76,AH1='Input Tables'!$BH$76,AH1='Input Tables'!$BI$76,AH1='Input Tables'!$BJ$76,AH1='Input Tables'!$BK$76, AH1='Input Tables'!$BL$76,'Input Tables'!$BM$76),('Cost Budgets'!$G$17*AH6),0),0)</f>
        <v>0</v>
      </c>
      <c r="AI52" s="30">
        <f>IFERROR(IF(OR(AI1='Input Tables'!$BA$76, AI1='Input Tables'!$BB$76,AI1='Input Tables'!$BC$76, AI1='Input Tables'!$BD$76,AI1='Input Tables'!$BE$76,AI1='Input Tables'!$BF$76,AI1='Input Tables'!$BG$76,AI1='Input Tables'!$BH$76,AI1='Input Tables'!$BI$76,AI1='Input Tables'!$BJ$76,AI1='Input Tables'!$BK$76, AI1='Input Tables'!$BL$76,'Input Tables'!$BM$76),('Cost Budgets'!$G$17*AI6),0),0)</f>
        <v>0</v>
      </c>
      <c r="AJ52" s="30">
        <f>IFERROR(IF(OR(AJ1='Input Tables'!$BA$76, AJ1='Input Tables'!$BB$76,AJ1='Input Tables'!$BC$76, AJ1='Input Tables'!$BD$76,AJ1='Input Tables'!$BE$76,AJ1='Input Tables'!$BF$76,AJ1='Input Tables'!$BG$76,AJ1='Input Tables'!$BH$76,AJ1='Input Tables'!$BI$76,AJ1='Input Tables'!$BJ$76,AJ1='Input Tables'!$BK$76, AJ1='Input Tables'!$BL$76,'Input Tables'!$BM$76),('Cost Budgets'!$G$17*AJ6),0),0)</f>
        <v>0</v>
      </c>
      <c r="AK52" s="30">
        <f>IFERROR(IF(OR(AK1='Input Tables'!$BA$76, AK1='Input Tables'!$BB$76,AK1='Input Tables'!$BC$76, AK1='Input Tables'!$BD$76,AK1='Input Tables'!$BE$76,AK1='Input Tables'!$BF$76,AK1='Input Tables'!$BG$76,AK1='Input Tables'!$BH$76,AK1='Input Tables'!$BI$76,AK1='Input Tables'!$BJ$76,AK1='Input Tables'!$BK$76, AK1='Input Tables'!$BL$76,'Input Tables'!$BM$76),('Cost Budgets'!$G$17*AK6),0),0)</f>
        <v>0</v>
      </c>
      <c r="AL52" s="30">
        <f>IFERROR(IF(OR(AL1='Input Tables'!$BA$76, AL1='Input Tables'!$BB$76,AL1='Input Tables'!$BC$76, AL1='Input Tables'!$BD$76,AL1='Input Tables'!$BE$76,AL1='Input Tables'!$BF$76,AL1='Input Tables'!$BG$76,AL1='Input Tables'!$BH$76,AL1='Input Tables'!$BI$76,AL1='Input Tables'!$BJ$76,AL1='Input Tables'!$BK$76, AL1='Input Tables'!$BL$76,'Input Tables'!$BM$76),('Cost Budgets'!$G$17*AL6),0),0)</f>
        <v>0</v>
      </c>
      <c r="AM52" s="30">
        <f>IFERROR(IF(OR(AM1='Input Tables'!$BA$76, AM1='Input Tables'!$BB$76,AM1='Input Tables'!$BC$76, AM1='Input Tables'!$BD$76,AM1='Input Tables'!$BE$76,AM1='Input Tables'!$BF$76,AM1='Input Tables'!$BG$76,AM1='Input Tables'!$BH$76,AM1='Input Tables'!$BI$76,AM1='Input Tables'!$BJ$76,AM1='Input Tables'!$BK$76, AM1='Input Tables'!$BL$76,'Input Tables'!$BM$76),('Cost Budgets'!$G$17*AM6),0),0)</f>
        <v>0</v>
      </c>
      <c r="AN52" s="30">
        <f>IFERROR(IF(OR(AN1='Input Tables'!$BA$76, AN1='Input Tables'!$BB$76,AN1='Input Tables'!$BC$76, AN1='Input Tables'!$BD$76,AN1='Input Tables'!$BE$76,AN1='Input Tables'!$BF$76,AN1='Input Tables'!$BG$76,AN1='Input Tables'!$BH$76,AN1='Input Tables'!$BI$76,AN1='Input Tables'!$BJ$76,AN1='Input Tables'!$BK$76, AN1='Input Tables'!$BL$76,'Input Tables'!$BM$76),('Cost Budgets'!$G$17*AN6),0),0)</f>
        <v>0</v>
      </c>
      <c r="AO52" s="30">
        <f>IFERROR(IF(OR(AO1='Input Tables'!$BA$76, AO1='Input Tables'!$BB$76,AO1='Input Tables'!$BC$76, AO1='Input Tables'!$BD$76,AO1='Input Tables'!$BE$76,AO1='Input Tables'!$BF$76,AO1='Input Tables'!$BG$76,AO1='Input Tables'!$BH$76,AO1='Input Tables'!$BI$76,AO1='Input Tables'!$BJ$76,AO1='Input Tables'!$BK$76, AO1='Input Tables'!$BL$76,'Input Tables'!$BM$76),('Cost Budgets'!$G$17*AO6),0),0)</f>
        <v>0</v>
      </c>
      <c r="AP52" s="30">
        <f>IFERROR(IF(OR(AP1='Input Tables'!$BA$76, AP1='Input Tables'!$BB$76,AP1='Input Tables'!$BC$76, AP1='Input Tables'!$BD$76,AP1='Input Tables'!$BE$76,AP1='Input Tables'!$BF$76,AP1='Input Tables'!$BG$76,AP1='Input Tables'!$BH$76,AP1='Input Tables'!$BI$76,AP1='Input Tables'!$BJ$76,AP1='Input Tables'!$BK$76, AP1='Input Tables'!$BL$76,'Input Tables'!$BM$76),('Cost Budgets'!$G$17*AP6),0),0)</f>
        <v>0</v>
      </c>
      <c r="AQ52" s="30">
        <f>IFERROR(IF(OR(AQ1='Input Tables'!$BA$76, AQ1='Input Tables'!$BB$76,AQ1='Input Tables'!$BC$76, AQ1='Input Tables'!$BD$76,AQ1='Input Tables'!$BE$76,AQ1='Input Tables'!$BF$76,AQ1='Input Tables'!$BG$76,AQ1='Input Tables'!$BH$76,AQ1='Input Tables'!$BI$76,AQ1='Input Tables'!$BJ$76,AQ1='Input Tables'!$BK$76, AQ1='Input Tables'!$BL$76,'Input Tables'!$BM$76),('Cost Budgets'!$G$17*AQ6),0),0)</f>
        <v>0</v>
      </c>
      <c r="AR52" s="30">
        <f>IFERROR(IF(OR(AR1='Input Tables'!$BA$76, AR1='Input Tables'!$BB$76,AR1='Input Tables'!$BC$76, AR1='Input Tables'!$BD$76,AR1='Input Tables'!$BE$76,AR1='Input Tables'!$BF$76,AR1='Input Tables'!$BG$76,AR1='Input Tables'!$BH$76,AR1='Input Tables'!$BI$76,AR1='Input Tables'!$BJ$76,AR1='Input Tables'!$BK$76, AR1='Input Tables'!$BL$76,'Input Tables'!$BM$76),('Cost Budgets'!$G$17*AR6),0),0)</f>
        <v>0</v>
      </c>
      <c r="AS52" s="30">
        <f>IFERROR(IF(OR(AS1='Input Tables'!$BA$76, AS1='Input Tables'!$BB$76,AS1='Input Tables'!$BC$76, AS1='Input Tables'!$BD$76,AS1='Input Tables'!$BE$76,AS1='Input Tables'!$BF$76,AS1='Input Tables'!$BG$76,AS1='Input Tables'!$BH$76,AS1='Input Tables'!$BI$76,AS1='Input Tables'!$BJ$76,AS1='Input Tables'!$BK$76, AS1='Input Tables'!$BL$76,'Input Tables'!$BM$76),('Cost Budgets'!$G$17*AS6),0),0)</f>
        <v>0</v>
      </c>
      <c r="AT52" s="30">
        <f>IFERROR(IF(OR(AT1='Input Tables'!$BA$76, AT1='Input Tables'!$BB$76,AT1='Input Tables'!$BC$76, AT1='Input Tables'!$BD$76,AT1='Input Tables'!$BE$76,AT1='Input Tables'!$BF$76,AT1='Input Tables'!$BG$76,AT1='Input Tables'!$BH$76,AT1='Input Tables'!$BI$76,AT1='Input Tables'!$BJ$76,AT1='Input Tables'!$BK$76, AT1='Input Tables'!$BL$76,'Input Tables'!$BM$76),('Cost Budgets'!$G$17*AT6),0),0)</f>
        <v>0</v>
      </c>
      <c r="AU52" s="30">
        <f>IFERROR(IF(OR(AU1='Input Tables'!$BA$76, AU1='Input Tables'!$BB$76,AU1='Input Tables'!$BC$76, AU1='Input Tables'!$BD$76,AU1='Input Tables'!$BE$76,AU1='Input Tables'!$BF$76,AU1='Input Tables'!$BG$76,AU1='Input Tables'!$BH$76,AU1='Input Tables'!$BI$76,AU1='Input Tables'!$BJ$76,AU1='Input Tables'!$BK$76, AU1='Input Tables'!$BL$76,'Input Tables'!$BM$76),('Cost Budgets'!$G$17*AU6),0),0)</f>
        <v>0</v>
      </c>
      <c r="AV52" s="30">
        <f>IFERROR(IF(OR(AV1='Input Tables'!$BA$76, AV1='Input Tables'!$BB$76,AV1='Input Tables'!$BC$76, AV1='Input Tables'!$BD$76,AV1='Input Tables'!$BE$76,AV1='Input Tables'!$BF$76,AV1='Input Tables'!$BG$76,AV1='Input Tables'!$BH$76,AV1='Input Tables'!$BI$76,AV1='Input Tables'!$BJ$76,AV1='Input Tables'!$BK$76, AV1='Input Tables'!$BL$76,'Input Tables'!$BM$76),('Cost Budgets'!$G$17*AV6),0),0)</f>
        <v>0</v>
      </c>
      <c r="AW52" s="30">
        <f>IFERROR(IF(OR(AW1='Input Tables'!$BA$76, AW1='Input Tables'!$BB$76,AW1='Input Tables'!$BC$76, AW1='Input Tables'!$BD$76,AW1='Input Tables'!$BE$76,AW1='Input Tables'!$BF$76,AW1='Input Tables'!$BG$76,AW1='Input Tables'!$BH$76,AW1='Input Tables'!$BI$76,AW1='Input Tables'!$BJ$76,AW1='Input Tables'!$BK$76, AW1='Input Tables'!$BL$76,'Input Tables'!$BM$76),('Cost Budgets'!$G$17*AW6),0),0)</f>
        <v>0</v>
      </c>
      <c r="AX52" s="30">
        <f>IFERROR(IF(OR(AX1='Input Tables'!$BA$76, AX1='Input Tables'!$BB$76,AX1='Input Tables'!$BC$76, AX1='Input Tables'!$BD$76,AX1='Input Tables'!$BE$76,AX1='Input Tables'!$BF$76,AX1='Input Tables'!$BG$76,AX1='Input Tables'!$BH$76,AX1='Input Tables'!$BI$76,AX1='Input Tables'!$BJ$76,AX1='Input Tables'!$BK$76, AX1='Input Tables'!$BL$76,'Input Tables'!$BM$76),('Cost Budgets'!$G$17*AX6),0),0)</f>
        <v>0</v>
      </c>
      <c r="AY52" s="30">
        <f>IFERROR(IF(OR(AY1='Input Tables'!$BA$76, AY1='Input Tables'!$BB$76,AY1='Input Tables'!$BC$76, AY1='Input Tables'!$BD$76,AY1='Input Tables'!$BE$76,AY1='Input Tables'!$BF$76,AY1='Input Tables'!$BG$76,AY1='Input Tables'!$BH$76,AY1='Input Tables'!$BI$76,AY1='Input Tables'!$BJ$76,AY1='Input Tables'!$BK$76, AY1='Input Tables'!$BL$76,'Input Tables'!$BM$76),('Cost Budgets'!$G$17*AY6),0),0)</f>
        <v>0</v>
      </c>
      <c r="AZ52" s="30">
        <f>IFERROR(IF(OR(AZ1='Input Tables'!$BA$76, AZ1='Input Tables'!$BB$76,AZ1='Input Tables'!$BC$76, AZ1='Input Tables'!$BD$76,AZ1='Input Tables'!$BE$76,AZ1='Input Tables'!$BF$76,AZ1='Input Tables'!$BG$76,AZ1='Input Tables'!$BH$76,AZ1='Input Tables'!$BI$76,AZ1='Input Tables'!$BJ$76,AZ1='Input Tables'!$BK$76, AZ1='Input Tables'!$BL$76,'Input Tables'!$BM$76),('Cost Budgets'!$G$17*AZ6),0),0)</f>
        <v>0</v>
      </c>
      <c r="BA52" s="30">
        <f>IFERROR(IF(OR(BA1='Input Tables'!$BA$76, BA1='Input Tables'!$BB$76,BA1='Input Tables'!$BC$76, BA1='Input Tables'!$BD$76,BA1='Input Tables'!$BE$76,BA1='Input Tables'!$BF$76,BA1='Input Tables'!$BG$76,BA1='Input Tables'!$BH$76,BA1='Input Tables'!$BI$76,BA1='Input Tables'!$BJ$76,BA1='Input Tables'!$BK$76, BA1='Input Tables'!$BL$76,'Input Tables'!$BM$76),('Cost Budgets'!$G$17*BA6),0),0)</f>
        <v>0</v>
      </c>
      <c r="BB52" s="30">
        <f>IFERROR(IF(OR(BB1='Input Tables'!$BA$76, BB1='Input Tables'!$BB$76,BB1='Input Tables'!$BC$76, BB1='Input Tables'!$BD$76,BB1='Input Tables'!$BE$76,BB1='Input Tables'!$BF$76,BB1='Input Tables'!$BG$76,BB1='Input Tables'!$BH$76,BB1='Input Tables'!$BI$76,BB1='Input Tables'!$BJ$76,BB1='Input Tables'!$BK$76, BB1='Input Tables'!$BL$76,'Input Tables'!$BM$76),('Cost Budgets'!$G$17*BB6),0),0)</f>
        <v>0</v>
      </c>
      <c r="BC52" s="30">
        <f>IFERROR(IF(OR(BC1='Input Tables'!$BA$76, BC1='Input Tables'!$BB$76,BC1='Input Tables'!$BC$76, BC1='Input Tables'!$BD$76,BC1='Input Tables'!$BE$76,BC1='Input Tables'!$BF$76,BC1='Input Tables'!$BG$76,BC1='Input Tables'!$BH$76,BC1='Input Tables'!$BI$76,BC1='Input Tables'!$BJ$76,BC1='Input Tables'!$BK$76, BC1='Input Tables'!$BL$76,'Input Tables'!$BM$76),('Cost Budgets'!$G$17*BC6),0),0)</f>
        <v>0</v>
      </c>
      <c r="BD52" s="30">
        <f>IFERROR(IF(OR(BD1='Input Tables'!$BA$76, BD1='Input Tables'!$BB$76,BD1='Input Tables'!$BC$76, BD1='Input Tables'!$BD$76,BD1='Input Tables'!$BE$76,BD1='Input Tables'!$BF$76,BD1='Input Tables'!$BG$76,BD1='Input Tables'!$BH$76,BD1='Input Tables'!$BI$76,BD1='Input Tables'!$BJ$76,BD1='Input Tables'!$BK$76, BD1='Input Tables'!$BL$76,'Input Tables'!$BM$76),('Cost Budgets'!$G$17*BD6),0),0)</f>
        <v>0</v>
      </c>
      <c r="BE52" s="30">
        <f>IFERROR(IF(OR(BE1='Input Tables'!$BA$76, BE1='Input Tables'!$BB$76,BE1='Input Tables'!$BC$76, BE1='Input Tables'!$BD$76,BE1='Input Tables'!$BE$76,BE1='Input Tables'!$BF$76,BE1='Input Tables'!$BG$76,BE1='Input Tables'!$BH$76,BE1='Input Tables'!$BI$76,BE1='Input Tables'!$BJ$76,BE1='Input Tables'!$BK$76, BE1='Input Tables'!$BL$76,'Input Tables'!$BM$76),('Cost Budgets'!$G$17*BE6),0),0)</f>
        <v>0</v>
      </c>
      <c r="BF52" s="30">
        <f>IFERROR(IF(OR(BF1='Input Tables'!$BA$76, BF1='Input Tables'!$BB$76,BF1='Input Tables'!$BC$76, BF1='Input Tables'!$BD$76,BF1='Input Tables'!$BE$76,BF1='Input Tables'!$BF$76,BF1='Input Tables'!$BG$76,BF1='Input Tables'!$BH$76,BF1='Input Tables'!$BI$76,BF1='Input Tables'!$BJ$76,BF1='Input Tables'!$BK$76, BF1='Input Tables'!$BL$76,'Input Tables'!$BM$76),('Cost Budgets'!$G$17*BF6),0),0)</f>
        <v>0</v>
      </c>
      <c r="BG52" s="30">
        <f>IFERROR(IF(OR(BG1='Input Tables'!$BA$76, BG1='Input Tables'!$BB$76,BG1='Input Tables'!$BC$76, BG1='Input Tables'!$BD$76,BG1='Input Tables'!$BE$76,BG1='Input Tables'!$BF$76,BG1='Input Tables'!$BG$76,BG1='Input Tables'!$BH$76,BG1='Input Tables'!$BI$76,BG1='Input Tables'!$BJ$76,BG1='Input Tables'!$BK$76, BG1='Input Tables'!$BL$76,'Input Tables'!$BM$76),('Cost Budgets'!$G$17*BG6),0),0)</f>
        <v>0</v>
      </c>
      <c r="BH52" s="30">
        <f>IFERROR(IF(OR(BH1='Input Tables'!$BA$76, BH1='Input Tables'!$BB$76,BH1='Input Tables'!$BC$76, BH1='Input Tables'!$BD$76,BH1='Input Tables'!$BE$76,BH1='Input Tables'!$BF$76,BH1='Input Tables'!$BG$76,BH1='Input Tables'!$BH$76,BH1='Input Tables'!$BI$76,BH1='Input Tables'!$BJ$76,BH1='Input Tables'!$BK$76, BH1='Input Tables'!$BL$76,'Input Tables'!$BM$76),('Cost Budgets'!$G$17*BH6),0),0)</f>
        <v>0</v>
      </c>
      <c r="BI52" s="30">
        <f>IFERROR(IF(OR(BI1='Input Tables'!$BA$76, BI1='Input Tables'!$BB$76,BI1='Input Tables'!$BC$76, BI1='Input Tables'!$BD$76,BI1='Input Tables'!$BE$76,BI1='Input Tables'!$BF$76,BI1='Input Tables'!$BG$76,BI1='Input Tables'!$BH$76,BI1='Input Tables'!$BI$76,BI1='Input Tables'!$BJ$76,BI1='Input Tables'!$BK$76, BI1='Input Tables'!$BL$76,'Input Tables'!$BM$76),('Cost Budgets'!$G$17*BI6),0),0)</f>
        <v>0</v>
      </c>
      <c r="BJ52" s="30">
        <f>IFERROR(IF(OR(BJ1='Input Tables'!$BA$76, BJ1='Input Tables'!$BB$76,BJ1='Input Tables'!$BC$76, BJ1='Input Tables'!$BD$76,BJ1='Input Tables'!$BE$76,BJ1='Input Tables'!$BF$76,BJ1='Input Tables'!$BG$76,BJ1='Input Tables'!$BH$76,BJ1='Input Tables'!$BI$76,BJ1='Input Tables'!$BJ$76,BJ1='Input Tables'!$BK$76, BJ1='Input Tables'!$BL$76,'Input Tables'!$BM$76),('Cost Budgets'!$G$17*BJ6),0),0)</f>
        <v>0</v>
      </c>
      <c r="BK52" s="30">
        <f>IFERROR(IF(OR(BK1='Input Tables'!$BA$76, BK1='Input Tables'!$BB$76,BK1='Input Tables'!$BC$76, BK1='Input Tables'!$BD$76,BK1='Input Tables'!$BE$76,BK1='Input Tables'!$BF$76,BK1='Input Tables'!$BG$76,BK1='Input Tables'!$BH$76,BK1='Input Tables'!$BI$76,BK1='Input Tables'!$BJ$76,BK1='Input Tables'!$BK$76, BK1='Input Tables'!$BL$76,'Input Tables'!$BM$76),('Cost Budgets'!$G$17*BK6),0),0)</f>
        <v>0</v>
      </c>
    </row>
    <row r="53" spans="1:63" x14ac:dyDescent="0.35">
      <c r="A53" s="188"/>
    </row>
    <row r="54" spans="1:63" x14ac:dyDescent="0.35">
      <c r="A54" s="110"/>
      <c r="B54" t="s">
        <v>176</v>
      </c>
      <c r="D54" s="36">
        <f ca="1">D37-D40-D42-D44-D46-D48-D50-D52</f>
        <v>-1365.068</v>
      </c>
      <c r="E54" s="36">
        <f t="shared" ref="E54:BK54" ca="1" si="24">E37-E40-E42-E44-E46-E48-E50-E52</f>
        <v>-559.44000000000005</v>
      </c>
      <c r="F54" s="36">
        <f t="shared" ca="1" si="24"/>
        <v>617.21611199999961</v>
      </c>
      <c r="G54" s="36">
        <f t="shared" ca="1" si="24"/>
        <v>1987.3398095999992</v>
      </c>
      <c r="H54" s="36">
        <f t="shared" ca="1" si="24"/>
        <v>2101.1108300165279</v>
      </c>
      <c r="I54" s="36">
        <f t="shared" ca="1" si="24"/>
        <v>3632.356744661156</v>
      </c>
      <c r="J54" s="36">
        <f t="shared" ca="1" si="24"/>
        <v>4613.6912562512398</v>
      </c>
      <c r="K54" s="36">
        <f t="shared" ca="1" si="24"/>
        <v>4742.1572450578506</v>
      </c>
      <c r="L54" s="36">
        <f t="shared" ca="1" si="24"/>
        <v>4481.1108813223127</v>
      </c>
      <c r="M54" s="36">
        <f t="shared" ca="1" si="24"/>
        <v>5117.5874017190063</v>
      </c>
      <c r="N54" s="36">
        <f t="shared" ca="1" si="24"/>
        <v>6388.1363463074367</v>
      </c>
      <c r="O54" s="36">
        <f t="shared" ca="1" si="24"/>
        <v>5832.726307319007</v>
      </c>
      <c r="P54" s="36">
        <f t="shared" ca="1" si="24"/>
        <v>8061.2347537190044</v>
      </c>
      <c r="Q54" s="36">
        <f t="shared" ca="1" si="24"/>
        <v>7029.401399107438</v>
      </c>
      <c r="R54" s="36">
        <f t="shared" ca="1" si="24"/>
        <v>7529.0092057190059</v>
      </c>
      <c r="S54" s="36">
        <f t="shared" ca="1" si="24"/>
        <v>8103.5002297190067</v>
      </c>
      <c r="T54" s="36">
        <f t="shared" ca="1" si="24"/>
        <v>8567.568316919007</v>
      </c>
      <c r="U54" s="36">
        <f t="shared" ca="1" si="24"/>
        <v>7864.7732497190054</v>
      </c>
      <c r="V54" s="36">
        <f t="shared" ca="1" si="24"/>
        <v>7229.7082848270566</v>
      </c>
      <c r="W54" s="36">
        <f t="shared" ca="1" si="24"/>
        <v>7457.7886683471061</v>
      </c>
      <c r="X54" s="36">
        <f t="shared" ca="1" si="24"/>
        <v>6989.9826163976677</v>
      </c>
      <c r="Y54" s="36">
        <f t="shared" ca="1" si="24"/>
        <v>6360.3870241455697</v>
      </c>
      <c r="Z54" s="36">
        <f t="shared" ca="1" si="24"/>
        <v>7023.8235059211556</v>
      </c>
      <c r="AA54" s="36">
        <f t="shared" ca="1" si="24"/>
        <v>6120.8135376953251</v>
      </c>
      <c r="AB54" s="36">
        <f t="shared" ca="1" si="24"/>
        <v>6061.7379846250406</v>
      </c>
      <c r="AC54" s="36">
        <f t="shared" ca="1" si="24"/>
        <v>5682.448261478733</v>
      </c>
      <c r="AD54" s="36">
        <f t="shared" ca="1" si="24"/>
        <v>5110.6284161285221</v>
      </c>
      <c r="AE54" s="36">
        <f t="shared" ca="1" si="24"/>
        <v>5577.0234629935094</v>
      </c>
      <c r="AF54" s="36">
        <f t="shared" ca="1" si="24"/>
        <v>4814.7424910680438</v>
      </c>
      <c r="AG54" s="36">
        <f t="shared" ca="1" si="24"/>
        <v>4913.9892858009061</v>
      </c>
      <c r="AH54" s="36">
        <f t="shared" ca="1" si="24"/>
        <v>4447.7634503214995</v>
      </c>
      <c r="AI54" s="36">
        <f t="shared" ca="1" si="24"/>
        <v>4469.0202357337894</v>
      </c>
      <c r="AJ54" s="36">
        <f t="shared" ca="1" si="24"/>
        <v>3931.5673882168176</v>
      </c>
      <c r="AK54" s="36">
        <f t="shared" ca="1" si="24"/>
        <v>4146.8518487330457</v>
      </c>
      <c r="AL54" s="36">
        <f t="shared" ca="1" si="24"/>
        <v>3595.8334069319285</v>
      </c>
      <c r="AM54" s="36">
        <f t="shared" ca="1" si="24"/>
        <v>3689.5753081588614</v>
      </c>
      <c r="AN54" s="36">
        <f t="shared" ca="1" si="24"/>
        <v>3547.0708461515214</v>
      </c>
      <c r="AO54" s="36">
        <f t="shared" ca="1" si="24"/>
        <v>3144.1455201893427</v>
      </c>
      <c r="AP54" s="36">
        <f t="shared" ca="1" si="24"/>
        <v>3261.6016832446394</v>
      </c>
      <c r="AQ54" s="36">
        <f t="shared" ca="1" si="24"/>
        <v>2775.9187081846471</v>
      </c>
      <c r="AR54" s="36">
        <f t="shared" ca="1" si="24"/>
        <v>2877.2549220190726</v>
      </c>
      <c r="AS54" s="36">
        <f t="shared" ca="1" si="24"/>
        <v>2753.476693379569</v>
      </c>
      <c r="AT54" s="36">
        <f t="shared" ca="1" si="24"/>
        <v>2464.9917706903075</v>
      </c>
      <c r="AU54" s="36">
        <f t="shared" ca="1" si="24"/>
        <v>2649.9922926464815</v>
      </c>
      <c r="AV54" s="36">
        <f t="shared" ca="1" si="24"/>
        <v>2223.2150317188962</v>
      </c>
      <c r="AW54" s="36">
        <f t="shared" ca="1" si="24"/>
        <v>2356.9543181687254</v>
      </c>
      <c r="AX54" s="36">
        <f t="shared" ca="1" si="24"/>
        <v>2167.6346253825573</v>
      </c>
      <c r="AY54" s="36">
        <f t="shared" ca="1" si="24"/>
        <v>1963.7610266275951</v>
      </c>
      <c r="AZ54" s="36">
        <f t="shared" ca="1" si="24"/>
        <v>1951.870772361553</v>
      </c>
      <c r="BA54" s="36">
        <f t="shared" ca="1" si="24"/>
        <v>1939.4140057253574</v>
      </c>
      <c r="BB54" s="36">
        <f t="shared" ca="1" si="24"/>
        <v>1756.8414501499265</v>
      </c>
      <c r="BC54" s="36">
        <f t="shared" ca="1" si="24"/>
        <v>1769.7095106233605</v>
      </c>
      <c r="BD54" s="36">
        <f t="shared" ca="1" si="24"/>
        <v>1714.0648024014733</v>
      </c>
      <c r="BE54" s="36">
        <f t="shared" ca="1" si="24"/>
        <v>1594.6893536580017</v>
      </c>
      <c r="BF54" s="36">
        <f t="shared" ca="1" si="24"/>
        <v>1607.7093130839032</v>
      </c>
      <c r="BG54" s="36">
        <f t="shared" ca="1" si="24"/>
        <v>1600.6928571790315</v>
      </c>
      <c r="BH54" s="36">
        <f t="shared" ca="1" si="24"/>
        <v>1344.3455911334945</v>
      </c>
      <c r="BI54" s="36">
        <f t="shared" ca="1" si="24"/>
        <v>1449.0351359878371</v>
      </c>
      <c r="BJ54" s="36">
        <f t="shared" ca="1" si="24"/>
        <v>1356.0905519178043</v>
      </c>
      <c r="BK54" s="36">
        <f t="shared" ca="1" si="24"/>
        <v>1372.4240663871747</v>
      </c>
    </row>
    <row r="55" spans="1:63" x14ac:dyDescent="0.35">
      <c r="A55" s="190" t="s">
        <v>208</v>
      </c>
    </row>
    <row r="56" spans="1:63" ht="15" customHeight="1" x14ac:dyDescent="0.35">
      <c r="A56" s="190"/>
      <c r="B56" s="72" t="s">
        <v>206</v>
      </c>
      <c r="D56" s="30">
        <f ca="1">IF(D12&gt;0,'Cost Budgets'!$F$20,0)</f>
        <v>0</v>
      </c>
      <c r="E56" s="30">
        <f ca="1">IF(E12&gt;0,'Cost Budgets'!$F$20,0)</f>
        <v>0</v>
      </c>
      <c r="F56" s="30">
        <f ca="1">IF(F12&gt;0,'Cost Budgets'!$F$20,0)</f>
        <v>2058.6492131438727</v>
      </c>
      <c r="G56" s="30">
        <f ca="1">IF(G12&gt;0,'Cost Budgets'!$F$20,0)</f>
        <v>2058.6492131438727</v>
      </c>
      <c r="H56" s="30">
        <f ca="1">IF(H12&gt;0,'Cost Budgets'!$F$20,0)</f>
        <v>2058.6492131438727</v>
      </c>
      <c r="I56" s="30">
        <f ca="1">IF(I12&gt;0,'Cost Budgets'!$F$20,0)</f>
        <v>2058.6492131438727</v>
      </c>
      <c r="J56" s="30">
        <f ca="1">IF(J12&gt;0,'Cost Budgets'!$F$20,0)</f>
        <v>2058.6492131438727</v>
      </c>
      <c r="K56" s="30">
        <f ca="1">IF(K12&gt;0,'Cost Budgets'!$F$20,0)</f>
        <v>2058.6492131438727</v>
      </c>
      <c r="L56" s="30">
        <f ca="1">IF(L12&gt;0,'Cost Budgets'!$F$20,0)</f>
        <v>2058.6492131438727</v>
      </c>
      <c r="M56" s="30">
        <f ca="1">IF(M12&gt;0,'Cost Budgets'!$F$20,0)</f>
        <v>2058.6492131438727</v>
      </c>
      <c r="N56" s="30">
        <f ca="1">IF(N12&gt;0,'Cost Budgets'!$F$20,0)</f>
        <v>2058.6492131438727</v>
      </c>
      <c r="O56" s="30">
        <f ca="1">IF(O12&gt;0,'Cost Budgets'!$F$20,0)</f>
        <v>2058.6492131438727</v>
      </c>
      <c r="P56" s="30">
        <f ca="1">IF(P12&gt;0,'Cost Budgets'!$F$20,0)</f>
        <v>2058.6492131438727</v>
      </c>
      <c r="Q56" s="30">
        <f ca="1">IF(Q12&gt;0,'Cost Budgets'!$F$20,0)</f>
        <v>2058.6492131438727</v>
      </c>
      <c r="R56" s="30">
        <f ca="1">IF(R12&gt;0,'Cost Budgets'!$F$20,0)</f>
        <v>2058.6492131438727</v>
      </c>
      <c r="S56" s="30">
        <f ca="1">IF(S12&gt;0,'Cost Budgets'!$F$20,0)</f>
        <v>2058.6492131438727</v>
      </c>
      <c r="T56" s="30">
        <f ca="1">IF(T12&gt;0,'Cost Budgets'!$F$20,0)</f>
        <v>2058.6492131438727</v>
      </c>
      <c r="U56" s="30">
        <f ca="1">IF(U12&gt;0,'Cost Budgets'!$F$20,0)</f>
        <v>2058.6492131438727</v>
      </c>
      <c r="V56" s="30">
        <f ca="1">IF(V12&gt;0,'Cost Budgets'!$F$20,0)</f>
        <v>2058.6492131438727</v>
      </c>
      <c r="W56" s="30">
        <f ca="1">IF(W12&gt;0,'Cost Budgets'!$F$20,0)</f>
        <v>2058.6492131438727</v>
      </c>
      <c r="X56" s="30">
        <f ca="1">IF(X12&gt;0,'Cost Budgets'!$F$20,0)</f>
        <v>2058.6492131438727</v>
      </c>
      <c r="Y56" s="30">
        <f ca="1">IF(Y12&gt;0,'Cost Budgets'!$F$20,0)</f>
        <v>2058.6492131438727</v>
      </c>
      <c r="Z56" s="30">
        <f ca="1">IF(Z12&gt;0,'Cost Budgets'!$F$20,0)</f>
        <v>2058.6492131438727</v>
      </c>
      <c r="AA56" s="30">
        <f ca="1">IF(AA12&gt;0,'Cost Budgets'!$F$20,0)</f>
        <v>2058.6492131438727</v>
      </c>
      <c r="AB56" s="30">
        <f ca="1">IF(AB12&gt;0,'Cost Budgets'!$F$20,0)</f>
        <v>2058.6492131438727</v>
      </c>
      <c r="AC56" s="30">
        <f ca="1">IF(AC12&gt;0,'Cost Budgets'!$F$20,0)</f>
        <v>2058.6492131438727</v>
      </c>
      <c r="AD56" s="30">
        <f ca="1">IF(AD12&gt;0,'Cost Budgets'!$F$20,0)</f>
        <v>2058.6492131438727</v>
      </c>
      <c r="AE56" s="30">
        <f ca="1">IF(AE12&gt;0,'Cost Budgets'!$F$20,0)</f>
        <v>2058.6492131438727</v>
      </c>
      <c r="AF56" s="30">
        <f ca="1">IF(AF12&gt;0,'Cost Budgets'!$F$20,0)</f>
        <v>2058.6492131438727</v>
      </c>
      <c r="AG56" s="30">
        <f ca="1">IF(AG12&gt;0,'Cost Budgets'!$F$20,0)</f>
        <v>2058.6492131438727</v>
      </c>
      <c r="AH56" s="30">
        <f ca="1">IF(AH12&gt;0,'Cost Budgets'!$F$20,0)</f>
        <v>2058.6492131438727</v>
      </c>
      <c r="AI56" s="30">
        <f ca="1">IF(AI12&gt;0,'Cost Budgets'!$F$20,0)</f>
        <v>2058.6492131438727</v>
      </c>
      <c r="AJ56" s="30">
        <f ca="1">IF(AJ12&gt;0,'Cost Budgets'!$F$20,0)</f>
        <v>2058.6492131438727</v>
      </c>
      <c r="AK56" s="30">
        <f ca="1">IF(AK12&gt;0,'Cost Budgets'!$F$20,0)</f>
        <v>2058.6492131438727</v>
      </c>
      <c r="AL56" s="30">
        <f ca="1">IF(AL12&gt;0,'Cost Budgets'!$F$20,0)</f>
        <v>2058.6492131438727</v>
      </c>
      <c r="AM56" s="30">
        <f ca="1">IF(AM12&gt;0,'Cost Budgets'!$F$20,0)</f>
        <v>2058.6492131438727</v>
      </c>
      <c r="AN56" s="30">
        <f ca="1">IF(AN12&gt;0,'Cost Budgets'!$F$20,0)</f>
        <v>2058.6492131438727</v>
      </c>
      <c r="AO56" s="30">
        <f ca="1">IF(AO12&gt;0,'Cost Budgets'!$F$20,0)</f>
        <v>2058.6492131438727</v>
      </c>
      <c r="AP56" s="30">
        <f ca="1">IF(AP12&gt;0,'Cost Budgets'!$F$20,0)</f>
        <v>2058.6492131438727</v>
      </c>
      <c r="AQ56" s="30">
        <f ca="1">IF(AQ12&gt;0,'Cost Budgets'!$F$20,0)</f>
        <v>2058.6492131438727</v>
      </c>
      <c r="AR56" s="30">
        <f ca="1">IF(AR12&gt;0,'Cost Budgets'!$F$20,0)</f>
        <v>2058.6492131438727</v>
      </c>
      <c r="AS56" s="30">
        <f ca="1">IF(AS12&gt;0,'Cost Budgets'!$F$20,0)</f>
        <v>2058.6492131438727</v>
      </c>
      <c r="AT56" s="30">
        <f ca="1">IF(AT12&gt;0,'Cost Budgets'!$F$20,0)</f>
        <v>2058.6492131438727</v>
      </c>
      <c r="AU56" s="30">
        <f ca="1">IF(AU12&gt;0,'Cost Budgets'!$F$20,0)</f>
        <v>2058.6492131438727</v>
      </c>
      <c r="AV56" s="30">
        <f ca="1">IF(AV12&gt;0,'Cost Budgets'!$F$20,0)</f>
        <v>2058.6492131438727</v>
      </c>
      <c r="AW56" s="30">
        <f ca="1">IF(AW12&gt;0,'Cost Budgets'!$F$20,0)</f>
        <v>2058.6492131438727</v>
      </c>
      <c r="AX56" s="30">
        <f ca="1">IF(AX12&gt;0,'Cost Budgets'!$F$20,0)</f>
        <v>2058.6492131438727</v>
      </c>
      <c r="AY56" s="30">
        <f ca="1">IF(AY12&gt;0,'Cost Budgets'!$F$20,0)</f>
        <v>2058.6492131438727</v>
      </c>
      <c r="AZ56" s="30">
        <f ca="1">IF(AZ12&gt;0,'Cost Budgets'!$F$20,0)</f>
        <v>2058.6492131438727</v>
      </c>
      <c r="BA56" s="30">
        <f ca="1">IF(BA12&gt;0,'Cost Budgets'!$F$20,0)</f>
        <v>2058.6492131438727</v>
      </c>
      <c r="BB56" s="30">
        <f ca="1">IF(BB12&gt;0,'Cost Budgets'!$F$20,0)</f>
        <v>2058.6492131438727</v>
      </c>
      <c r="BC56" s="30">
        <f ca="1">IF(BC12&gt;0,'Cost Budgets'!$F$20,0)</f>
        <v>2058.6492131438727</v>
      </c>
      <c r="BD56" s="30">
        <f ca="1">IF(BD12&gt;0,'Cost Budgets'!$F$20,0)</f>
        <v>2058.6492131438727</v>
      </c>
      <c r="BE56" s="30">
        <f ca="1">IF(BE12&gt;0,'Cost Budgets'!$F$20,0)</f>
        <v>2058.6492131438727</v>
      </c>
      <c r="BF56" s="30">
        <f ca="1">IF(BF12&gt;0,'Cost Budgets'!$F$20,0)</f>
        <v>2058.6492131438727</v>
      </c>
      <c r="BG56" s="30">
        <f ca="1">IF(BG12&gt;0,'Cost Budgets'!$F$20,0)</f>
        <v>2058.6492131438727</v>
      </c>
      <c r="BH56" s="30">
        <f ca="1">IF(BH12&gt;0,'Cost Budgets'!$F$20,0)</f>
        <v>2058.6492131438727</v>
      </c>
      <c r="BI56" s="30">
        <f ca="1">IF(BI12&gt;0,'Cost Budgets'!$F$20,0)</f>
        <v>2058.6492131438727</v>
      </c>
      <c r="BJ56" s="30">
        <f ca="1">IF(BJ12&gt;0,'Cost Budgets'!$F$20,0)</f>
        <v>2058.6492131438727</v>
      </c>
      <c r="BK56" s="30">
        <f ca="1">IF(BK12&gt;0,'Cost Budgets'!$F$20,0)</f>
        <v>2058.6492131438727</v>
      </c>
    </row>
    <row r="57" spans="1:63" x14ac:dyDescent="0.35">
      <c r="A57" s="190"/>
      <c r="B57" s="43"/>
    </row>
    <row r="58" spans="1:63" x14ac:dyDescent="0.35">
      <c r="A58" s="190"/>
      <c r="B58" s="72" t="s">
        <v>207</v>
      </c>
      <c r="D58" s="30">
        <f t="shared" ref="D58:AI58" ca="1" si="25">IF(D56&gt;D20,0,D56)</f>
        <v>0</v>
      </c>
      <c r="E58" s="30">
        <f t="shared" ca="1" si="25"/>
        <v>0</v>
      </c>
      <c r="F58" s="30">
        <f t="shared" ca="1" si="25"/>
        <v>0</v>
      </c>
      <c r="G58" s="30">
        <f t="shared" ca="1" si="25"/>
        <v>2058.6492131438727</v>
      </c>
      <c r="H58" s="30">
        <f t="shared" ca="1" si="25"/>
        <v>2058.6492131438727</v>
      </c>
      <c r="I58" s="30">
        <f t="shared" ca="1" si="25"/>
        <v>2058.6492131438727</v>
      </c>
      <c r="J58" s="30">
        <f t="shared" ca="1" si="25"/>
        <v>2058.6492131438727</v>
      </c>
      <c r="K58" s="30">
        <f t="shared" ca="1" si="25"/>
        <v>2058.6492131438727</v>
      </c>
      <c r="L58" s="30">
        <f t="shared" ca="1" si="25"/>
        <v>2058.6492131438727</v>
      </c>
      <c r="M58" s="30">
        <f t="shared" ca="1" si="25"/>
        <v>2058.6492131438727</v>
      </c>
      <c r="N58" s="30">
        <f t="shared" ca="1" si="25"/>
        <v>2058.6492131438727</v>
      </c>
      <c r="O58" s="30">
        <f t="shared" ca="1" si="25"/>
        <v>2058.6492131438727</v>
      </c>
      <c r="P58" s="30">
        <f t="shared" ca="1" si="25"/>
        <v>2058.6492131438727</v>
      </c>
      <c r="Q58" s="30">
        <f t="shared" ca="1" si="25"/>
        <v>2058.6492131438727</v>
      </c>
      <c r="R58" s="30">
        <f t="shared" ca="1" si="25"/>
        <v>2058.6492131438727</v>
      </c>
      <c r="S58" s="30">
        <f t="shared" ca="1" si="25"/>
        <v>2058.6492131438727</v>
      </c>
      <c r="T58" s="30">
        <f t="shared" ca="1" si="25"/>
        <v>2058.6492131438727</v>
      </c>
      <c r="U58" s="30">
        <f t="shared" ca="1" si="25"/>
        <v>2058.6492131438727</v>
      </c>
      <c r="V58" s="30">
        <f t="shared" ca="1" si="25"/>
        <v>2058.6492131438727</v>
      </c>
      <c r="W58" s="30">
        <f t="shared" ca="1" si="25"/>
        <v>2058.6492131438727</v>
      </c>
      <c r="X58" s="30">
        <f t="shared" ca="1" si="25"/>
        <v>2058.6492131438727</v>
      </c>
      <c r="Y58" s="30">
        <f t="shared" ca="1" si="25"/>
        <v>2058.6492131438727</v>
      </c>
      <c r="Z58" s="30">
        <f t="shared" ca="1" si="25"/>
        <v>2058.6492131438727</v>
      </c>
      <c r="AA58" s="30">
        <f t="shared" ca="1" si="25"/>
        <v>2058.6492131438727</v>
      </c>
      <c r="AB58" s="30">
        <f t="shared" ca="1" si="25"/>
        <v>2058.6492131438727</v>
      </c>
      <c r="AC58" s="30">
        <f t="shared" ca="1" si="25"/>
        <v>2058.6492131438727</v>
      </c>
      <c r="AD58" s="30">
        <f t="shared" ca="1" si="25"/>
        <v>2058.6492131438727</v>
      </c>
      <c r="AE58" s="30">
        <f t="shared" ca="1" si="25"/>
        <v>2058.6492131438727</v>
      </c>
      <c r="AF58" s="30">
        <f t="shared" ca="1" si="25"/>
        <v>2058.6492131438727</v>
      </c>
      <c r="AG58" s="30">
        <f t="shared" ca="1" si="25"/>
        <v>2058.6492131438727</v>
      </c>
      <c r="AH58" s="30">
        <f t="shared" ca="1" si="25"/>
        <v>2058.6492131438727</v>
      </c>
      <c r="AI58" s="30">
        <f t="shared" ca="1" si="25"/>
        <v>2058.6492131438727</v>
      </c>
      <c r="AJ58" s="30">
        <f t="shared" ref="AJ58:BK58" ca="1" si="26">IF(AJ56&gt;AJ20,0,AJ56)</f>
        <v>2058.6492131438727</v>
      </c>
      <c r="AK58" s="30">
        <f t="shared" ca="1" si="26"/>
        <v>2058.6492131438727</v>
      </c>
      <c r="AL58" s="30">
        <f t="shared" ca="1" si="26"/>
        <v>2058.6492131438727</v>
      </c>
      <c r="AM58" s="30">
        <f t="shared" ca="1" si="26"/>
        <v>2058.6492131438727</v>
      </c>
      <c r="AN58" s="30">
        <f t="shared" ca="1" si="26"/>
        <v>2058.6492131438727</v>
      </c>
      <c r="AO58" s="30">
        <f t="shared" ca="1" si="26"/>
        <v>2058.6492131438727</v>
      </c>
      <c r="AP58" s="30">
        <f t="shared" ca="1" si="26"/>
        <v>2058.6492131438727</v>
      </c>
      <c r="AQ58" s="30">
        <f t="shared" ca="1" si="26"/>
        <v>2058.6492131438727</v>
      </c>
      <c r="AR58" s="30">
        <f t="shared" ca="1" si="26"/>
        <v>2058.6492131438727</v>
      </c>
      <c r="AS58" s="30">
        <f t="shared" ca="1" si="26"/>
        <v>2058.6492131438727</v>
      </c>
      <c r="AT58" s="30">
        <f t="shared" ca="1" si="26"/>
        <v>2058.6492131438727</v>
      </c>
      <c r="AU58" s="30">
        <f t="shared" ca="1" si="26"/>
        <v>2058.6492131438727</v>
      </c>
      <c r="AV58" s="30">
        <f t="shared" ca="1" si="26"/>
        <v>2058.6492131438727</v>
      </c>
      <c r="AW58" s="30">
        <f t="shared" ca="1" si="26"/>
        <v>2058.6492131438727</v>
      </c>
      <c r="AX58" s="30">
        <f t="shared" ca="1" si="26"/>
        <v>2058.6492131438727</v>
      </c>
      <c r="AY58" s="30">
        <f t="shared" ca="1" si="26"/>
        <v>0</v>
      </c>
      <c r="AZ58" s="30">
        <f t="shared" ca="1" si="26"/>
        <v>0</v>
      </c>
      <c r="BA58" s="30">
        <f t="shared" ca="1" si="26"/>
        <v>0</v>
      </c>
      <c r="BB58" s="30">
        <f t="shared" ca="1" si="26"/>
        <v>0</v>
      </c>
      <c r="BC58" s="30">
        <f t="shared" ca="1" si="26"/>
        <v>0</v>
      </c>
      <c r="BD58" s="30">
        <f t="shared" ca="1" si="26"/>
        <v>0</v>
      </c>
      <c r="BE58" s="30">
        <f t="shared" ca="1" si="26"/>
        <v>0</v>
      </c>
      <c r="BF58" s="30">
        <f t="shared" ca="1" si="26"/>
        <v>0</v>
      </c>
      <c r="BG58" s="30">
        <f t="shared" ca="1" si="26"/>
        <v>0</v>
      </c>
      <c r="BH58" s="30">
        <f t="shared" ca="1" si="26"/>
        <v>0</v>
      </c>
      <c r="BI58" s="30">
        <f t="shared" ca="1" si="26"/>
        <v>0</v>
      </c>
      <c r="BJ58" s="30">
        <f t="shared" ca="1" si="26"/>
        <v>0</v>
      </c>
      <c r="BK58" s="30">
        <f t="shared" ca="1" si="26"/>
        <v>0</v>
      </c>
    </row>
    <row r="59" spans="1:63" x14ac:dyDescent="0.35">
      <c r="A59" s="190"/>
    </row>
    <row r="60" spans="1:63" s="79" customFormat="1" x14ac:dyDescent="0.35">
      <c r="C60" s="82"/>
    </row>
    <row r="61" spans="1:63" s="13" customFormat="1" x14ac:dyDescent="0.35">
      <c r="B61" s="13" t="s">
        <v>168</v>
      </c>
      <c r="C61" s="101"/>
      <c r="D61" s="102">
        <f ca="1">D22</f>
        <v>0</v>
      </c>
      <c r="E61" s="102">
        <f t="shared" ref="E61:BK61" ca="1" si="27">E22</f>
        <v>0</v>
      </c>
      <c r="F61" s="102">
        <f t="shared" ca="1" si="27"/>
        <v>0</v>
      </c>
      <c r="G61" s="102">
        <f t="shared" ca="1" si="27"/>
        <v>2077.3398095999992</v>
      </c>
      <c r="H61" s="102">
        <f t="shared" ca="1" si="27"/>
        <v>2577.8113919999992</v>
      </c>
      <c r="I61" s="102">
        <f t="shared" ca="1" si="27"/>
        <v>3713.0592239999987</v>
      </c>
      <c r="J61" s="102">
        <f t="shared" ca="1" si="27"/>
        <v>4840.0581983999991</v>
      </c>
      <c r="K61" s="102">
        <f t="shared" ca="1" si="27"/>
        <v>5126.089211999999</v>
      </c>
      <c r="L61" s="102">
        <f t="shared" ca="1" si="27"/>
        <v>4590.9158399999978</v>
      </c>
      <c r="M61" s="102">
        <f t="shared" ca="1" si="27"/>
        <v>5183.4138479999983</v>
      </c>
      <c r="N61" s="102">
        <f t="shared" ca="1" si="27"/>
        <v>6751.8259991999985</v>
      </c>
      <c r="O61" s="102">
        <f t="shared" ca="1" si="27"/>
        <v>5898.5527535999991</v>
      </c>
      <c r="P61" s="102">
        <f t="shared" ca="1" si="27"/>
        <v>8127.0611999999965</v>
      </c>
      <c r="Q61" s="102">
        <f t="shared" ca="1" si="27"/>
        <v>7357.6910520000001</v>
      </c>
      <c r="R61" s="102">
        <f t="shared" ca="1" si="27"/>
        <v>7594.8356519999979</v>
      </c>
      <c r="S61" s="102">
        <f t="shared" ca="1" si="27"/>
        <v>8169.3266759999988</v>
      </c>
      <c r="T61" s="102">
        <f t="shared" ca="1" si="27"/>
        <v>8633.3947631999981</v>
      </c>
      <c r="U61" s="102">
        <f t="shared" ca="1" si="27"/>
        <v>7930.5996959999975</v>
      </c>
      <c r="V61" s="102">
        <f t="shared" ca="1" si="27"/>
        <v>7290.3358259999995</v>
      </c>
      <c r="W61" s="102">
        <f t="shared" ca="1" si="27"/>
        <v>7517.0324699999983</v>
      </c>
      <c r="X61" s="102">
        <f t="shared" ca="1" si="27"/>
        <v>7044.6553882559983</v>
      </c>
      <c r="Y61" s="102">
        <f t="shared" ca="1" si="27"/>
        <v>6409.6394358599991</v>
      </c>
      <c r="Z61" s="102">
        <f t="shared" ca="1" si="27"/>
        <v>7071.8109852599982</v>
      </c>
      <c r="AA61" s="102">
        <f t="shared" ca="1" si="27"/>
        <v>6165.2281311482393</v>
      </c>
      <c r="AB61" s="102">
        <f t="shared" ca="1" si="27"/>
        <v>6104.9267160299996</v>
      </c>
      <c r="AC61" s="102">
        <f t="shared" ca="1" si="27"/>
        <v>5722.4989139860063</v>
      </c>
      <c r="AD61" s="102">
        <f t="shared" ca="1" si="27"/>
        <v>5146.7080375816986</v>
      </c>
      <c r="AE61" s="102">
        <f t="shared" ca="1" si="27"/>
        <v>5612.0063354315262</v>
      </c>
      <c r="AF61" s="102">
        <f t="shared" ca="1" si="27"/>
        <v>4847.2781464348845</v>
      </c>
      <c r="AG61" s="102">
        <f t="shared" ca="1" si="27"/>
        <v>4945.4738709951207</v>
      </c>
      <c r="AH61" s="102">
        <f t="shared" ca="1" si="27"/>
        <v>4477.1028808668307</v>
      </c>
      <c r="AI61" s="102">
        <f t="shared" ca="1" si="27"/>
        <v>4497.3563624085828</v>
      </c>
      <c r="AJ61" s="102">
        <f t="shared" ca="1" si="27"/>
        <v>3958.0244425132955</v>
      </c>
      <c r="AK61" s="102">
        <f t="shared" ca="1" si="27"/>
        <v>4172.3543627403596</v>
      </c>
      <c r="AL61" s="102">
        <f t="shared" ca="1" si="27"/>
        <v>3619.6912749944977</v>
      </c>
      <c r="AM61" s="102">
        <f t="shared" ca="1" si="27"/>
        <v>3712.5275707654441</v>
      </c>
      <c r="AN61" s="102">
        <f t="shared" ca="1" si="27"/>
        <v>3570.0231087581042</v>
      </c>
      <c r="AO61" s="102">
        <f t="shared" ca="1" si="27"/>
        <v>3165.6805080203681</v>
      </c>
      <c r="AP61" s="102">
        <f t="shared" ca="1" si="27"/>
        <v>3282.2587195905639</v>
      </c>
      <c r="AQ61" s="102">
        <f t="shared" ca="1" si="27"/>
        <v>2795.3373843043905</v>
      </c>
      <c r="AR61" s="102">
        <f t="shared" ca="1" si="27"/>
        <v>2895.8462547304048</v>
      </c>
      <c r="AS61" s="102">
        <f t="shared" ca="1" si="27"/>
        <v>2772.0680260909012</v>
      </c>
      <c r="AT61" s="102">
        <f t="shared" ca="1" si="27"/>
        <v>2482.5192854595311</v>
      </c>
      <c r="AU61" s="102">
        <f t="shared" ca="1" si="27"/>
        <v>2666.7244920866801</v>
      </c>
      <c r="AV61" s="102">
        <f t="shared" ca="1" si="27"/>
        <v>2239.0199748582995</v>
      </c>
      <c r="AW61" s="102">
        <f t="shared" ca="1" si="27"/>
        <v>2372.0132976649043</v>
      </c>
      <c r="AX61" s="102">
        <f t="shared" ca="1" si="27"/>
        <v>2182.6936048787361</v>
      </c>
      <c r="AY61" s="102">
        <f t="shared" ca="1" si="27"/>
        <v>0</v>
      </c>
      <c r="AZ61" s="102">
        <f t="shared" ca="1" si="27"/>
        <v>0</v>
      </c>
      <c r="BA61" s="102">
        <f t="shared" ca="1" si="27"/>
        <v>0</v>
      </c>
      <c r="BB61" s="102">
        <f t="shared" ca="1" si="27"/>
        <v>0</v>
      </c>
      <c r="BC61" s="102">
        <f t="shared" ca="1" si="27"/>
        <v>0</v>
      </c>
      <c r="BD61" s="102">
        <f t="shared" ca="1" si="27"/>
        <v>0</v>
      </c>
      <c r="BE61" s="102">
        <f t="shared" ca="1" si="27"/>
        <v>0</v>
      </c>
      <c r="BF61" s="102">
        <f t="shared" ca="1" si="27"/>
        <v>0</v>
      </c>
      <c r="BG61" s="102">
        <f t="shared" ca="1" si="27"/>
        <v>0</v>
      </c>
      <c r="BH61" s="102">
        <f t="shared" ca="1" si="27"/>
        <v>0</v>
      </c>
      <c r="BI61" s="102">
        <f t="shared" ca="1" si="27"/>
        <v>0</v>
      </c>
      <c r="BJ61" s="102">
        <f t="shared" ca="1" si="27"/>
        <v>0</v>
      </c>
      <c r="BK61" s="102">
        <f t="shared" ca="1" si="27"/>
        <v>0</v>
      </c>
    </row>
    <row r="62" spans="1:63" s="13" customFormat="1" x14ac:dyDescent="0.35">
      <c r="C62" s="101"/>
    </row>
    <row r="63" spans="1:63" s="13" customFormat="1" x14ac:dyDescent="0.35">
      <c r="B63" s="13" t="s">
        <v>169</v>
      </c>
      <c r="C63" s="101"/>
      <c r="D63" s="102">
        <f ca="1">D26+D28+D30+D32+D36+D58</f>
        <v>919.56799999999998</v>
      </c>
      <c r="E63" s="102">
        <f t="shared" ref="E63:AJ63" ca="1" si="28">E26+E28+E30+E32+E36+E40+E42+E44+E46+E48+E50+E52+E58</f>
        <v>559.44000000000005</v>
      </c>
      <c r="F63" s="102">
        <f t="shared" ca="1" si="28"/>
        <v>130.5</v>
      </c>
      <c r="G63" s="102">
        <f t="shared" ca="1" si="28"/>
        <v>2148.6492131438727</v>
      </c>
      <c r="H63" s="102">
        <f t="shared" ca="1" si="28"/>
        <v>2535.3497751273439</v>
      </c>
      <c r="I63" s="102">
        <f t="shared" ca="1" si="28"/>
        <v>2139.3516924827154</v>
      </c>
      <c r="J63" s="102">
        <f t="shared" ca="1" si="28"/>
        <v>2285.0161552926329</v>
      </c>
      <c r="K63" s="102">
        <f t="shared" ca="1" si="28"/>
        <v>2442.5811800860215</v>
      </c>
      <c r="L63" s="102">
        <f t="shared" ca="1" si="28"/>
        <v>2168.4541718215587</v>
      </c>
      <c r="M63" s="102">
        <f t="shared" ca="1" si="28"/>
        <v>2124.4756594248643</v>
      </c>
      <c r="N63" s="102">
        <f t="shared" ca="1" si="28"/>
        <v>2422.3388660364344</v>
      </c>
      <c r="O63" s="102">
        <f t="shared" ca="1" si="28"/>
        <v>2124.4756594248643</v>
      </c>
      <c r="P63" s="102">
        <f t="shared" ca="1" si="28"/>
        <v>2124.4756594248643</v>
      </c>
      <c r="Q63" s="102">
        <f t="shared" ca="1" si="28"/>
        <v>2386.9388660364348</v>
      </c>
      <c r="R63" s="102">
        <f t="shared" ca="1" si="28"/>
        <v>2124.4756594248643</v>
      </c>
      <c r="S63" s="102">
        <f t="shared" ca="1" si="28"/>
        <v>2124.4756594248643</v>
      </c>
      <c r="T63" s="102">
        <f t="shared" ca="1" si="28"/>
        <v>2124.4756594248643</v>
      </c>
      <c r="U63" s="102">
        <f t="shared" ca="1" si="28"/>
        <v>2124.4756594248643</v>
      </c>
      <c r="V63" s="102">
        <f t="shared" ca="1" si="28"/>
        <v>2119.2767543168156</v>
      </c>
      <c r="W63" s="102">
        <f t="shared" ca="1" si="28"/>
        <v>2117.8930147967653</v>
      </c>
      <c r="X63" s="102">
        <f t="shared" ca="1" si="28"/>
        <v>2113.3219850022037</v>
      </c>
      <c r="Y63" s="102">
        <f t="shared" ca="1" si="28"/>
        <v>2107.901624858303</v>
      </c>
      <c r="Z63" s="102">
        <f t="shared" ca="1" si="28"/>
        <v>2106.6366924827157</v>
      </c>
      <c r="AA63" s="102">
        <f t="shared" ca="1" si="28"/>
        <v>2103.0638065967869</v>
      </c>
      <c r="AB63" s="102">
        <f t="shared" ca="1" si="28"/>
        <v>2101.8379445488313</v>
      </c>
      <c r="AC63" s="102">
        <f t="shared" ca="1" si="28"/>
        <v>2098.6998656511455</v>
      </c>
      <c r="AD63" s="102">
        <f t="shared" ca="1" si="28"/>
        <v>2094.7288345970492</v>
      </c>
      <c r="AE63" s="102">
        <f t="shared" ca="1" si="28"/>
        <v>2093.632085581889</v>
      </c>
      <c r="AF63" s="102">
        <f t="shared" ca="1" si="28"/>
        <v>2091.1848685107134</v>
      </c>
      <c r="AG63" s="102">
        <f t="shared" ca="1" si="28"/>
        <v>2090.1337983380877</v>
      </c>
      <c r="AH63" s="102">
        <f t="shared" ca="1" si="28"/>
        <v>2087.9886436892039</v>
      </c>
      <c r="AI63" s="102">
        <f t="shared" ca="1" si="28"/>
        <v>2086.985339818666</v>
      </c>
      <c r="AJ63" s="102">
        <f t="shared" ca="1" si="28"/>
        <v>2085.1062674403506</v>
      </c>
      <c r="AK63" s="102">
        <f t="shared" ref="AK63:BK63" ca="1" si="29">AK26+AK28+AK30+AK32+AK36+AK40+AK42+AK44+AK46+AK48+AK50+AK52+AK58</f>
        <v>2084.1517271511866</v>
      </c>
      <c r="AL63" s="102">
        <f t="shared" ca="1" si="29"/>
        <v>2082.5070812064414</v>
      </c>
      <c r="AM63" s="102">
        <f t="shared" ca="1" si="29"/>
        <v>2081.6014757504554</v>
      </c>
      <c r="AN63" s="102">
        <f t="shared" ca="1" si="29"/>
        <v>2081.6014757504554</v>
      </c>
      <c r="AO63" s="102">
        <f t="shared" ca="1" si="29"/>
        <v>2080.184200974898</v>
      </c>
      <c r="AP63" s="102">
        <f t="shared" ca="1" si="29"/>
        <v>2079.3062494897972</v>
      </c>
      <c r="AQ63" s="102">
        <f t="shared" ca="1" si="29"/>
        <v>2078.0678892636156</v>
      </c>
      <c r="AR63" s="102">
        <f t="shared" ca="1" si="29"/>
        <v>2077.2405458552048</v>
      </c>
      <c r="AS63" s="102">
        <f t="shared" ca="1" si="29"/>
        <v>2077.2405458552048</v>
      </c>
      <c r="AT63" s="102">
        <f t="shared" ca="1" si="29"/>
        <v>2076.1767279130963</v>
      </c>
      <c r="AU63" s="102">
        <f t="shared" ca="1" si="29"/>
        <v>2075.3814125840713</v>
      </c>
      <c r="AV63" s="102">
        <f t="shared" ca="1" si="29"/>
        <v>2074.454156283276</v>
      </c>
      <c r="AW63" s="102">
        <f t="shared" ca="1" si="29"/>
        <v>2073.7081926400515</v>
      </c>
      <c r="AX63" s="102">
        <f t="shared" ca="1" si="29"/>
        <v>2073.7081926400515</v>
      </c>
      <c r="AY63" s="102">
        <f t="shared" ca="1" si="29"/>
        <v>14.265831305186779</v>
      </c>
      <c r="AZ63" s="102">
        <f t="shared" ca="1" si="29"/>
        <v>13.553081546560986</v>
      </c>
      <c r="BA63" s="102">
        <f t="shared" ca="1" si="29"/>
        <v>13.553081546560986</v>
      </c>
      <c r="BB63" s="102">
        <f t="shared" ca="1" si="29"/>
        <v>12.876379029615222</v>
      </c>
      <c r="BC63" s="102">
        <f t="shared" ca="1" si="29"/>
        <v>12.197773391904887</v>
      </c>
      <c r="BD63" s="102">
        <f t="shared" ca="1" si="29"/>
        <v>12.197773391904887</v>
      </c>
      <c r="BE63" s="102">
        <f t="shared" ca="1" si="29"/>
        <v>11.622171294789206</v>
      </c>
      <c r="BF63" s="102">
        <f t="shared" ca="1" si="29"/>
        <v>10.977996052714397</v>
      </c>
      <c r="BG63" s="102">
        <f t="shared" ca="1" si="29"/>
        <v>10.977996052714397</v>
      </c>
      <c r="BH63" s="102">
        <f t="shared" ca="1" si="29"/>
        <v>10.490139476361639</v>
      </c>
      <c r="BI63" s="102">
        <f t="shared" ca="1" si="29"/>
        <v>9.8801964474429589</v>
      </c>
      <c r="BJ63" s="102">
        <f t="shared" ca="1" si="29"/>
        <v>9.8801964474429589</v>
      </c>
      <c r="BK63" s="102">
        <f t="shared" ca="1" si="29"/>
        <v>9.8801964474429589</v>
      </c>
    </row>
    <row r="64" spans="1:63" s="13" customFormat="1" x14ac:dyDescent="0.35">
      <c r="C64" s="101"/>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c r="AS64" s="102"/>
      <c r="AT64" s="102"/>
      <c r="AU64" s="102"/>
      <c r="AV64" s="102"/>
      <c r="AW64" s="102"/>
      <c r="AX64" s="102"/>
      <c r="AY64" s="102"/>
      <c r="AZ64" s="102"/>
      <c r="BA64" s="102"/>
      <c r="BB64" s="102"/>
      <c r="BC64" s="102"/>
      <c r="BD64" s="102"/>
      <c r="BE64" s="102"/>
      <c r="BF64" s="102"/>
      <c r="BG64" s="102"/>
      <c r="BH64" s="102"/>
      <c r="BI64" s="102"/>
      <c r="BJ64" s="102"/>
      <c r="BK64" s="102"/>
    </row>
    <row r="65" spans="2:63" s="13" customFormat="1" x14ac:dyDescent="0.35">
      <c r="B65" s="13" t="s">
        <v>170</v>
      </c>
      <c r="C65" s="101"/>
      <c r="D65" s="102">
        <f ca="1">D61-D63</f>
        <v>-919.56799999999998</v>
      </c>
      <c r="E65" s="102">
        <f t="shared" ref="E65:BK65" ca="1" si="30">E61-E63</f>
        <v>-559.44000000000005</v>
      </c>
      <c r="F65" s="102">
        <f t="shared" ca="1" si="30"/>
        <v>-130.5</v>
      </c>
      <c r="G65" s="102">
        <f t="shared" ca="1" si="30"/>
        <v>-71.309403543873486</v>
      </c>
      <c r="H65" s="102">
        <f t="shared" ca="1" si="30"/>
        <v>42.461616872655213</v>
      </c>
      <c r="I65" s="102">
        <f t="shared" ca="1" si="30"/>
        <v>1573.7075315172833</v>
      </c>
      <c r="J65" s="102">
        <f t="shared" ca="1" si="30"/>
        <v>2555.0420431073662</v>
      </c>
      <c r="K65" s="102">
        <f t="shared" ca="1" si="30"/>
        <v>2683.5080319139774</v>
      </c>
      <c r="L65" s="102">
        <f t="shared" ca="1" si="30"/>
        <v>2422.4616681784391</v>
      </c>
      <c r="M65" s="102">
        <f t="shared" ca="1" si="30"/>
        <v>3058.9381885751341</v>
      </c>
      <c r="N65" s="102">
        <f t="shared" ca="1" si="30"/>
        <v>4329.4871331635641</v>
      </c>
      <c r="O65" s="102">
        <f t="shared" ca="1" si="30"/>
        <v>3774.0770941751348</v>
      </c>
      <c r="P65" s="102">
        <f t="shared" ca="1" si="30"/>
        <v>6002.5855405751317</v>
      </c>
      <c r="Q65" s="102">
        <f t="shared" ca="1" si="30"/>
        <v>4970.7521859635654</v>
      </c>
      <c r="R65" s="102">
        <f t="shared" ca="1" si="30"/>
        <v>5470.3599925751332</v>
      </c>
      <c r="S65" s="102">
        <f t="shared" ca="1" si="30"/>
        <v>6044.8510165751341</v>
      </c>
      <c r="T65" s="102">
        <f t="shared" ca="1" si="30"/>
        <v>6508.9191037751334</v>
      </c>
      <c r="U65" s="102">
        <f t="shared" ca="1" si="30"/>
        <v>5806.1240365751328</v>
      </c>
      <c r="V65" s="102">
        <f t="shared" ca="1" si="30"/>
        <v>5171.0590716831839</v>
      </c>
      <c r="W65" s="102">
        <f t="shared" ca="1" si="30"/>
        <v>5399.1394552032325</v>
      </c>
      <c r="X65" s="102">
        <f t="shared" ca="1" si="30"/>
        <v>4931.333403253795</v>
      </c>
      <c r="Y65" s="102">
        <f t="shared" ca="1" si="30"/>
        <v>4301.7378110016962</v>
      </c>
      <c r="Z65" s="102">
        <f t="shared" ca="1" si="30"/>
        <v>4965.174292777283</v>
      </c>
      <c r="AA65" s="102">
        <f t="shared" ca="1" si="30"/>
        <v>4062.1643245514524</v>
      </c>
      <c r="AB65" s="102">
        <f t="shared" ca="1" si="30"/>
        <v>4003.0887714811684</v>
      </c>
      <c r="AC65" s="102">
        <f t="shared" ca="1" si="30"/>
        <v>3623.7990483348608</v>
      </c>
      <c r="AD65" s="102">
        <f t="shared" ca="1" si="30"/>
        <v>3051.9792029846494</v>
      </c>
      <c r="AE65" s="102">
        <f t="shared" ca="1" si="30"/>
        <v>3518.3742498496372</v>
      </c>
      <c r="AF65" s="102">
        <f t="shared" ca="1" si="30"/>
        <v>2756.0932779241712</v>
      </c>
      <c r="AG65" s="102">
        <f t="shared" ca="1" si="30"/>
        <v>2855.340072657033</v>
      </c>
      <c r="AH65" s="102">
        <f t="shared" ca="1" si="30"/>
        <v>2389.1142371776268</v>
      </c>
      <c r="AI65" s="102">
        <f t="shared" ca="1" si="30"/>
        <v>2410.3710225899167</v>
      </c>
      <c r="AJ65" s="102">
        <f t="shared" ca="1" si="30"/>
        <v>1872.9181750729449</v>
      </c>
      <c r="AK65" s="102">
        <f t="shared" ca="1" si="30"/>
        <v>2088.202635589173</v>
      </c>
      <c r="AL65" s="102">
        <f t="shared" ca="1" si="30"/>
        <v>1537.1841937880563</v>
      </c>
      <c r="AM65" s="102">
        <f t="shared" ca="1" si="30"/>
        <v>1630.9260950149887</v>
      </c>
      <c r="AN65" s="102">
        <f t="shared" ca="1" si="30"/>
        <v>1488.4216330076488</v>
      </c>
      <c r="AO65" s="102">
        <f t="shared" ca="1" si="30"/>
        <v>1085.4963070454701</v>
      </c>
      <c r="AP65" s="102">
        <f t="shared" ca="1" si="30"/>
        <v>1202.9524701007667</v>
      </c>
      <c r="AQ65" s="102">
        <f t="shared" ca="1" si="30"/>
        <v>717.26949504077493</v>
      </c>
      <c r="AR65" s="102">
        <f t="shared" ca="1" si="30"/>
        <v>818.60570887519998</v>
      </c>
      <c r="AS65" s="102">
        <f t="shared" ca="1" si="30"/>
        <v>694.82748023569638</v>
      </c>
      <c r="AT65" s="102">
        <f t="shared" ca="1" si="30"/>
        <v>406.34255754643482</v>
      </c>
      <c r="AU65" s="102">
        <f t="shared" ca="1" si="30"/>
        <v>591.34307950260882</v>
      </c>
      <c r="AV65" s="102">
        <f t="shared" ca="1" si="30"/>
        <v>164.56581857502351</v>
      </c>
      <c r="AW65" s="102">
        <f t="shared" ca="1" si="30"/>
        <v>298.30510502485276</v>
      </c>
      <c r="AX65" s="102">
        <f t="shared" ca="1" si="30"/>
        <v>108.9854122386846</v>
      </c>
      <c r="AY65" s="102">
        <f t="shared" ca="1" si="30"/>
        <v>-14.265831305186779</v>
      </c>
      <c r="AZ65" s="102">
        <f t="shared" ca="1" si="30"/>
        <v>-13.553081546560986</v>
      </c>
      <c r="BA65" s="102">
        <f t="shared" ca="1" si="30"/>
        <v>-13.553081546560986</v>
      </c>
      <c r="BB65" s="102">
        <f t="shared" ca="1" si="30"/>
        <v>-12.876379029615222</v>
      </c>
      <c r="BC65" s="102">
        <f t="shared" ca="1" si="30"/>
        <v>-12.197773391904887</v>
      </c>
      <c r="BD65" s="102">
        <f t="shared" ca="1" si="30"/>
        <v>-12.197773391904887</v>
      </c>
      <c r="BE65" s="102">
        <f t="shared" ca="1" si="30"/>
        <v>-11.622171294789206</v>
      </c>
      <c r="BF65" s="102">
        <f t="shared" ca="1" si="30"/>
        <v>-10.977996052714397</v>
      </c>
      <c r="BG65" s="102">
        <f t="shared" ca="1" si="30"/>
        <v>-10.977996052714397</v>
      </c>
      <c r="BH65" s="102">
        <f t="shared" ca="1" si="30"/>
        <v>-10.490139476361639</v>
      </c>
      <c r="BI65" s="102">
        <f t="shared" ca="1" si="30"/>
        <v>-9.8801964474429589</v>
      </c>
      <c r="BJ65" s="102">
        <f t="shared" ca="1" si="30"/>
        <v>-9.8801964474429589</v>
      </c>
      <c r="BK65" s="102">
        <f t="shared" ca="1" si="30"/>
        <v>-9.8801964474429589</v>
      </c>
    </row>
    <row r="66" spans="2:63" s="13" customFormat="1" hidden="1" x14ac:dyDescent="0.35">
      <c r="C66" s="101"/>
      <c r="D66" s="103">
        <f ca="1">NPV('Management Input'!$Q$6,'Financial Analysis'!D65)</f>
        <v>-875.77904761904756</v>
      </c>
      <c r="E66" s="103">
        <f ca="1">NPV('Management Input'!$Q$6,$D$65:E65)</f>
        <v>-1383.2076190476189</v>
      </c>
      <c r="F66" s="103">
        <f ca="1">NPV('Management Input'!$Q$6,$D$65:F65)</f>
        <v>-1495.9384256559765</v>
      </c>
      <c r="G66" s="103">
        <f ca="1">NPV('Management Input'!$Q$6,$D$65:G65)</f>
        <v>-1554.604848427454</v>
      </c>
      <c r="H66" s="103">
        <f ca="1">NPV('Management Input'!$Q$6,$D$65:H65)</f>
        <v>-1521.3350605371702</v>
      </c>
      <c r="I66" s="103">
        <f ca="1">NPV('Management Input'!$Q$6,$D$65:I65)</f>
        <v>-347.01027071595274</v>
      </c>
      <c r="J66" s="103">
        <f ca="1">NPV('Management Input'!$Q$6,$D$65:J65)</f>
        <v>1468.8104070179731</v>
      </c>
      <c r="K66" s="103">
        <f ca="1">NPV('Management Input'!$Q$6,$D$65:K65)</f>
        <v>3285.114271337487</v>
      </c>
      <c r="L66" s="103">
        <f ca="1">NPV('Management Input'!$Q$6,$D$65:L65)</f>
        <v>4846.6546618411476</v>
      </c>
      <c r="M66" s="103">
        <f ca="1">NPV('Management Input'!$Q$6,$D$65:M65)</f>
        <v>6724.5773575693838</v>
      </c>
      <c r="N66" s="103">
        <f ca="1">NPV('Management Input'!$Q$6,$D$65:N65)</f>
        <v>9255.9388166963345</v>
      </c>
      <c r="O66" s="103">
        <f ca="1">NPV('Management Input'!$Q$6,$D$65:O65)</f>
        <v>11357.486161819881</v>
      </c>
      <c r="P66" s="103">
        <f ca="1">NPV('Management Input'!$Q$6,$D$65:P65)</f>
        <v>14540.785433061601</v>
      </c>
      <c r="Q66" s="103">
        <f ca="1">NPV('Management Input'!$Q$6,$D$65:Q65)</f>
        <v>17051.353064474217</v>
      </c>
      <c r="R66" s="103">
        <f ca="1">NPV('Management Input'!$Q$6,$D$65:R65)</f>
        <v>19682.68975361565</v>
      </c>
      <c r="S66" s="103">
        <f ca="1">NPV('Management Input'!$Q$6,$D$65:S65)</f>
        <v>22451.905653030142</v>
      </c>
      <c r="T66" s="103">
        <f ca="1">NPV('Management Input'!$Q$6,$D$65:T65)</f>
        <v>25291.725497934262</v>
      </c>
      <c r="U66" s="103">
        <f ca="1">NPV('Management Input'!$Q$6,$D$65:U65)</f>
        <v>27704.289959853795</v>
      </c>
      <c r="V66" s="103">
        <f ca="1">NPV('Management Input'!$Q$6,$D$65:V65)</f>
        <v>29750.653628257831</v>
      </c>
      <c r="W66" s="103">
        <f ca="1">NPV('Management Input'!$Q$6,$D$65:W65)</f>
        <v>31785.532505488594</v>
      </c>
      <c r="X66" s="103">
        <f ca="1">NPV('Management Input'!$Q$6,$D$65:X65)</f>
        <v>33555.596978085421</v>
      </c>
      <c r="Y66" s="103">
        <f ca="1">NPV('Management Input'!$Q$6,$D$65:Y65)</f>
        <v>35026.145494224802</v>
      </c>
      <c r="Z66" s="103">
        <f ca="1">NPV('Management Input'!$Q$6,$D$65:Z65)</f>
        <v>36642.663772232918</v>
      </c>
      <c r="AA66" s="103">
        <f ca="1">NPV('Management Input'!$Q$6,$D$65:AA65)</f>
        <v>37902.210575571313</v>
      </c>
      <c r="AB66" s="103">
        <f ca="1">NPV('Management Input'!$Q$6,$D$65:AB65)</f>
        <v>39084.333785141891</v>
      </c>
      <c r="AC66" s="103">
        <f ca="1">NPV('Management Input'!$Q$6,$D$65:AC65)</f>
        <v>40103.493692807599</v>
      </c>
      <c r="AD66" s="103">
        <f ca="1">NPV('Management Input'!$Q$6,$D$65:AD65)</f>
        <v>40920.961191950722</v>
      </c>
      <c r="AE66" s="103">
        <f ca="1">NPV('Management Input'!$Q$6,$D$65:AE65)</f>
        <v>41818.476076175437</v>
      </c>
      <c r="AF66" s="103">
        <f ca="1">NPV('Management Input'!$Q$6,$D$65:AF65)</f>
        <v>42488.058798624275</v>
      </c>
      <c r="AG66" s="103">
        <f ca="1">NPV('Management Input'!$Q$6,$D$65:AG65)</f>
        <v>43148.72009968049</v>
      </c>
      <c r="AH66" s="103">
        <f ca="1">NPV('Management Input'!$Q$6,$D$65:AH65)</f>
        <v>43675.184058485771</v>
      </c>
      <c r="AI66" s="103">
        <f ca="1">NPV('Management Input'!$Q$6,$D$65:AI65)</f>
        <v>44181.039385035307</v>
      </c>
      <c r="AJ66" s="103">
        <f ca="1">NPV('Management Input'!$Q$6,$D$65:AJ65)</f>
        <v>44555.384297152414</v>
      </c>
      <c r="AK66" s="103">
        <f ca="1">NPV('Management Input'!$Q$6,$D$65:AK65)</f>
        <v>44952.883691416384</v>
      </c>
      <c r="AL66" s="103">
        <f ca="1">NPV('Management Input'!$Q$6,$D$65:AL65)</f>
        <v>45231.560252547686</v>
      </c>
      <c r="AM66" s="103">
        <f ca="1">NPV('Management Input'!$Q$6,$D$65:AM65)</f>
        <v>45513.151735551714</v>
      </c>
      <c r="AN66" s="103">
        <f ca="1">NPV('Management Input'!$Q$6,$D$65:AN65)</f>
        <v>45757.901288905829</v>
      </c>
      <c r="AO66" s="103">
        <f ca="1">NPV('Management Input'!$Q$6,$D$65:AO65)</f>
        <v>45927.895833990326</v>
      </c>
      <c r="AP66" s="103">
        <f ca="1">NPV('Management Input'!$Q$6,$D$65:AP65)</f>
        <v>46107.313748600107</v>
      </c>
      <c r="AQ66" s="103">
        <f ca="1">NPV('Management Input'!$Q$6,$D$65:AQ65)</f>
        <v>46209.198783416352</v>
      </c>
      <c r="AR66" s="103">
        <f ca="1">NPV('Management Input'!$Q$6,$D$65:AR65)</f>
        <v>46319.94107527547</v>
      </c>
      <c r="AS66" s="103">
        <f ca="1">NPV('Management Input'!$Q$6,$D$65:AS65)</f>
        <v>46409.462384582563</v>
      </c>
      <c r="AT66" s="103">
        <f ca="1">NPV('Management Input'!$Q$6,$D$65:AT65)</f>
        <v>46459.322404739629</v>
      </c>
      <c r="AU66" s="103">
        <f ca="1">NPV('Management Input'!$Q$6,$D$65:AU65)</f>
        <v>46528.427546076004</v>
      </c>
      <c r="AV66" s="103">
        <f ca="1">NPV('Management Input'!$Q$6,$D$65:AV65)</f>
        <v>46546.743147170331</v>
      </c>
      <c r="AW66" s="103">
        <f ca="1">NPV('Management Input'!$Q$6,$D$65:AW65)</f>
        <v>46578.362496485686</v>
      </c>
      <c r="AX66" s="103">
        <f ca="1">NPV('Management Input'!$Q$6,$D$65:AX65)</f>
        <v>46589.364488236206</v>
      </c>
      <c r="AY66" s="103">
        <f ca="1">NPV('Management Input'!$Q$6,$D$65:AY65)</f>
        <v>46587.992941128075</v>
      </c>
      <c r="AZ66" s="103">
        <f ca="1">NPV('Management Input'!$Q$6,$D$65:AZ65)</f>
        <v>46586.751967944117</v>
      </c>
      <c r="BA66" s="103">
        <f ca="1">NPV('Management Input'!$Q$6,$D$65:BA65)</f>
        <v>46585.570088721295</v>
      </c>
      <c r="BB66" s="103">
        <f ca="1">NPV('Management Input'!$Q$6,$D$65:BB65)</f>
        <v>46584.500690396257</v>
      </c>
      <c r="BC66" s="103">
        <f ca="1">NPV('Management Input'!$Q$6,$D$65:BC65)</f>
        <v>46583.535891030682</v>
      </c>
      <c r="BD66" s="103">
        <f ca="1">NPV('Management Input'!$Q$6,$D$65:BD65)</f>
        <v>46582.617034492047</v>
      </c>
      <c r="BE66" s="103">
        <f ca="1">NPV('Management Input'!$Q$6,$D$65:BE65)</f>
        <v>46581.78322828791</v>
      </c>
      <c r="BF66" s="103">
        <f ca="1">NPV('Management Input'!$Q$6,$D$65:BF65)</f>
        <v>46581.033141317595</v>
      </c>
      <c r="BG66" s="103">
        <f ca="1">NPV('Management Input'!$Q$6,$D$65:BG65)</f>
        <v>46580.318772774437</v>
      </c>
      <c r="BH66" s="103">
        <f ca="1">NPV('Management Input'!$Q$6,$D$65:BH65)</f>
        <v>46579.668656234018</v>
      </c>
      <c r="BI66" s="103">
        <f ca="1">NPV('Management Input'!$Q$6,$D$65:BI65)</f>
        <v>46579.085498239612</v>
      </c>
      <c r="BJ66" s="103">
        <f ca="1">NPV('Management Input'!$Q$6,$D$65:BJ65)</f>
        <v>46578.530109673498</v>
      </c>
      <c r="BK66" s="103">
        <f ca="1">NPV('Management Input'!$Q$6,$D$65:BK65)</f>
        <v>46578.001168181974</v>
      </c>
    </row>
    <row r="67" spans="2:63" s="13" customFormat="1" hidden="1" x14ac:dyDescent="0.35">
      <c r="C67" s="101"/>
      <c r="D67" s="104" t="e">
        <f ca="1">MIRR(D65,'Management Input'!$Q$6+1,'Management Input'!$Q$6)</f>
        <v>#DIV/0!</v>
      </c>
      <c r="E67" s="104">
        <f ca="1">MIRR($D$65:E65,'Management Input'!$Q$6+1,'Management Input'!$Q$6)</f>
        <v>-1</v>
      </c>
      <c r="F67" s="104">
        <f ca="1">MIRR($D$65:F65,'Management Input'!$Q$6+1,'Management Input'!$Q$6)</f>
        <v>-1</v>
      </c>
      <c r="G67" s="104">
        <f ca="1">MIRR($D$65:G65,'Management Input'!$Q$6+1,'Management Input'!$Q$6)</f>
        <v>-1</v>
      </c>
      <c r="H67" s="104">
        <f ca="1">MIRR($D$65:H65,'Management Input'!$Q$6+1,'Management Input'!$Q$6)</f>
        <v>-0.56911194239240381</v>
      </c>
      <c r="I67" s="104">
        <f ca="1">MIRR($D$65:I65,'Management Input'!$Q$6+1,'Management Input'!$Q$6)</f>
        <v>5.6096614028764424E-2</v>
      </c>
      <c r="J67" s="104">
        <f ca="1">MIRR($D$65:J65,'Management Input'!$Q$6+1,'Management Input'!$Q$6)</f>
        <v>0.22945894960951585</v>
      </c>
      <c r="K67" s="104">
        <f ca="1">MIRR($D$65:K65,'Management Input'!$Q$6+1,'Management Input'!$Q$6)</f>
        <v>0.28562317696303863</v>
      </c>
      <c r="L67" s="104">
        <f ca="1">MIRR($D$65:L65,'Management Input'!$Q$6+1,'Management Input'!$Q$6)</f>
        <v>0.29808700871840488</v>
      </c>
      <c r="M67" s="104">
        <f ca="1">MIRR($D$65:M65,'Management Input'!$Q$6+1,'Management Input'!$Q$6)</f>
        <v>0.30461514199524209</v>
      </c>
      <c r="N67" s="104">
        <f ca="1">MIRR($D$65:N65,'Management Input'!$Q$6+1,'Management Input'!$Q$6)</f>
        <v>0.31110994845163931</v>
      </c>
      <c r="O67" s="104">
        <f ca="1">MIRR($D$65:O65,'Management Input'!$Q$6+1,'Management Input'!$Q$6)</f>
        <v>0.30582355175473319</v>
      </c>
      <c r="P67" s="104">
        <f ca="1">MIRR($D$65:P65,'Management Input'!$Q$6+1,'Management Input'!$Q$6)</f>
        <v>0.30607657972789482</v>
      </c>
      <c r="Q67" s="104">
        <f ca="1">MIRR($D$65:Q65,'Management Input'!$Q$6+1,'Management Input'!$Q$6)</f>
        <v>0.2987341818861462</v>
      </c>
      <c r="R67" s="104">
        <f ca="1">MIRR($D$65:R65,'Management Input'!$Q$6+1,'Management Input'!$Q$6)</f>
        <v>0.29130421908919124</v>
      </c>
      <c r="S67" s="104">
        <f ca="1">MIRR($D$65:S65,'Management Input'!$Q$6+1,'Management Input'!$Q$6)</f>
        <v>0.2840677590423073</v>
      </c>
      <c r="T67" s="104">
        <f ca="1">MIRR($D$65:T65,'Management Input'!$Q$6+1,'Management Input'!$Q$6)</f>
        <v>0.27690994609153163</v>
      </c>
      <c r="U67" s="104">
        <f ca="1">MIRR($D$65:U65,'Management Input'!$Q$6+1,'Management Input'!$Q$6)</f>
        <v>0.26870423166460289</v>
      </c>
      <c r="V67" s="104">
        <f ca="1">MIRR($D$65:V65,'Management Input'!$Q$6+1,'Management Input'!$Q$6)</f>
        <v>0.26016207248551448</v>
      </c>
      <c r="W67" s="104">
        <f ca="1">MIRR($D$65:W65,'Management Input'!$Q$6+1,'Management Input'!$Q$6)</f>
        <v>0.25226288461168589</v>
      </c>
      <c r="X67" s="104">
        <f ca="1">MIRR($D$65:X65,'Management Input'!$Q$6+1,'Management Input'!$Q$6)</f>
        <v>0.24449597244232235</v>
      </c>
      <c r="Y67" s="104">
        <f ca="1">MIRR($D$65:Y65,'Management Input'!$Q$6+1,'Management Input'!$Q$6)</f>
        <v>0.23687994318363015</v>
      </c>
      <c r="Z67" s="104">
        <f ca="1">MIRR($D$65:Z65,'Management Input'!$Q$6+1,'Management Input'!$Q$6)</f>
        <v>0.23012037844158328</v>
      </c>
      <c r="AA67" s="104">
        <f ca="1">MIRR($D$65:AA65,'Management Input'!$Q$6+1,'Management Input'!$Q$6)</f>
        <v>0.22340631478465434</v>
      </c>
      <c r="AB67" s="104">
        <f ca="1">MIRR($D$65:AB65,'Management Input'!$Q$6+1,'Management Input'!$Q$6)</f>
        <v>0.21713571317249425</v>
      </c>
      <c r="AC67" s="104">
        <f ca="1">MIRR($D$65:AC65,'Management Input'!$Q$6+1,'Management Input'!$Q$6)</f>
        <v>0.21116496838373466</v>
      </c>
      <c r="AD67" s="104">
        <f ca="1">MIRR($D$65:AD65,'Management Input'!$Q$6+1,'Management Input'!$Q$6)</f>
        <v>0.20543209917722316</v>
      </c>
      <c r="AE67" s="104">
        <f ca="1">MIRR($D$65:AE65,'Management Input'!$Q$6+1,'Management Input'!$Q$6)</f>
        <v>0.20021373020219269</v>
      </c>
      <c r="AF67" s="104">
        <f ca="1">MIRR($D$65:AF65,'Management Input'!$Q$6+1,'Management Input'!$Q$6)</f>
        <v>0.19514969623675937</v>
      </c>
      <c r="AG67" s="104">
        <f ca="1">MIRR($D$65:AG65,'Management Input'!$Q$6+1,'Management Input'!$Q$6)</f>
        <v>0.19043643436361402</v>
      </c>
      <c r="AH67" s="104">
        <f ca="1">MIRR($D$65:AH65,'Management Input'!$Q$6+1,'Management Input'!$Q$6)</f>
        <v>0.18592840464268523</v>
      </c>
      <c r="AI67" s="104">
        <f ca="1">MIRR($D$65:AI65,'Management Input'!$Q$6+1,'Management Input'!$Q$6)</f>
        <v>0.18170433355608284</v>
      </c>
      <c r="AJ67" s="104">
        <f ca="1">MIRR($D$65:AJ65,'Management Input'!$Q$6+1,'Management Input'!$Q$6)</f>
        <v>0.17764861252309139</v>
      </c>
      <c r="AK67" s="104">
        <f ca="1">MIRR($D$65:AK65,'Management Input'!$Q$6+1,'Management Input'!$Q$6)</f>
        <v>0.17386674303179195</v>
      </c>
      <c r="AL67" s="104">
        <f ca="1">MIRR($D$65:AL65,'Management Input'!$Q$6+1,'Management Input'!$Q$6)</f>
        <v>0.1702286118624432</v>
      </c>
      <c r="AM67" s="104">
        <f ca="1">MIRR($D$65:AM65,'Management Input'!$Q$6+1,'Management Input'!$Q$6)</f>
        <v>0.16680958387679867</v>
      </c>
      <c r="AN67" s="104">
        <f ca="1">MIRR($D$65:AN65,'Management Input'!$Q$6+1,'Management Input'!$Q$6)</f>
        <v>0.16356335896635232</v>
      </c>
      <c r="AO67" s="104">
        <f ca="1">MIRR($D$65:AO65,'Management Input'!$Q$6+1,'Management Input'!$Q$6)</f>
        <v>0.16045073908704799</v>
      </c>
      <c r="AP67" s="104">
        <f ca="1">MIRR($D$65:AP65,'Management Input'!$Q$6+1,'Management Input'!$Q$6)</f>
        <v>0.1575152549993728</v>
      </c>
      <c r="AQ67" s="104">
        <f ca="1">MIRR($D$65:AQ65,'Management Input'!$Q$6+1,'Management Input'!$Q$6)</f>
        <v>0.15468873103374103</v>
      </c>
      <c r="AR67" s="104">
        <f ca="1">MIRR($D$65:AR65,'Management Input'!$Q$6+1,'Management Input'!$Q$6)</f>
        <v>0.15201512434423869</v>
      </c>
      <c r="AS67" s="104">
        <f ca="1">MIRR($D$65:AS65,'Management Input'!$Q$6+1,'Management Input'!$Q$6)</f>
        <v>0.14946513133984318</v>
      </c>
      <c r="AT67" s="104">
        <f ca="1">MIRR($D$65:AT65,'Management Input'!$Q$6+1,'Management Input'!$Q$6)</f>
        <v>0.14701916930466075</v>
      </c>
      <c r="AU67" s="104">
        <f ca="1">MIRR($D$65:AU65,'Management Input'!$Q$6+1,'Management Input'!$Q$6)</f>
        <v>0.14470244876897564</v>
      </c>
      <c r="AV67" s="104">
        <f ca="1">MIRR($D$65:AV65,'Management Input'!$Q$6+1,'Management Input'!$Q$6)</f>
        <v>0.14246794312451239</v>
      </c>
      <c r="AW67" s="104">
        <f ca="1">MIRR($D$65:AW65,'Management Input'!$Q$6+1,'Management Input'!$Q$6)</f>
        <v>0.14034382573429149</v>
      </c>
      <c r="AX67" s="104">
        <f ca="1">MIRR($D$65:AX65,'Management Input'!$Q$6+1,'Management Input'!$Q$6)</f>
        <v>0.13830515110245911</v>
      </c>
      <c r="AY67" s="104">
        <f ca="1">MIRR($D$65:AY65,'Management Input'!$Q$6+1,'Management Input'!$Q$6)</f>
        <v>0.13635111821955581</v>
      </c>
      <c r="AZ67" s="104">
        <f ca="1">MIRR($D$65:AZ65,'Management Input'!$Q$6+1,'Management Input'!$Q$6)</f>
        <v>0.13448165103918885</v>
      </c>
      <c r="BA67" s="104">
        <f ca="1">MIRR($D$65:BA65,'Management Input'!$Q$6+1,'Management Input'!$Q$6)</f>
        <v>0.13269137852167812</v>
      </c>
      <c r="BB67" s="104">
        <f ca="1">MIRR($D$65:BB65,'Management Input'!$Q$6+1,'Management Input'!$Q$6)</f>
        <v>0.13097537485766431</v>
      </c>
      <c r="BC67" s="104">
        <f ca="1">MIRR($D$65:BC65,'Management Input'!$Q$6+1,'Management Input'!$Q$6)</f>
        <v>0.12932911428794913</v>
      </c>
      <c r="BD67" s="104">
        <f ca="1">MIRR($D$65:BD65,'Management Input'!$Q$6+1,'Management Input'!$Q$6)</f>
        <v>0.12774843131362901</v>
      </c>
      <c r="BE67" s="104">
        <f ca="1">MIRR($D$65:BE65,'Management Input'!$Q$6+1,'Management Input'!$Q$6)</f>
        <v>0.12622948556111546</v>
      </c>
      <c r="BF67" s="104">
        <f ca="1">MIRR($D$65:BF65,'Management Input'!$Q$6+1,'Management Input'!$Q$6)</f>
        <v>0.12476873067906924</v>
      </c>
      <c r="BG67" s="104">
        <f ca="1">MIRR($D$65:BG65,'Management Input'!$Q$6+1,'Management Input'!$Q$6)</f>
        <v>0.12336288673774654</v>
      </c>
      <c r="BH67" s="104">
        <f ca="1">MIRR($D$65:BH65,'Management Input'!$Q$6+1,'Management Input'!$Q$6)</f>
        <v>0.12200891567924144</v>
      </c>
      <c r="BI67" s="104">
        <f ca="1">MIRR($D$65:BI65,'Management Input'!$Q$6+1,'Management Input'!$Q$6)</f>
        <v>0.1207039994324115</v>
      </c>
      <c r="BJ67" s="104">
        <f ca="1">MIRR($D$65:BJ65,'Management Input'!$Q$6+1,'Management Input'!$Q$6)</f>
        <v>0.11944552036113665</v>
      </c>
      <c r="BK67" s="104">
        <f ca="1">MIRR($D$65:BK65,'Management Input'!$Q$6+1,'Management Input'!$Q$6)</f>
        <v>0.11823104376082361</v>
      </c>
    </row>
    <row r="68" spans="2:63" s="13" customFormat="1" hidden="1" x14ac:dyDescent="0.35">
      <c r="C68" s="101"/>
      <c r="D68" s="105">
        <f ca="1">PMT('Management Input'!$Q$6,70,-D66)</f>
        <v>-45.277035000029059</v>
      </c>
      <c r="E68" s="105">
        <f ca="1">PMT('Management Input'!$Q$6,70,-E66)</f>
        <v>-71.51066236419949</v>
      </c>
      <c r="F68" s="105">
        <f ca="1">PMT('Management Input'!$Q$6,70,-F66)</f>
        <v>-77.338749585816089</v>
      </c>
      <c r="G68" s="105">
        <f ca="1">PMT('Management Input'!$Q$6,70,-G66)</f>
        <v>-80.371753954180605</v>
      </c>
      <c r="H68" s="105">
        <f ca="1">PMT('Management Input'!$Q$6,70,-H66)</f>
        <v>-78.651734098890387</v>
      </c>
      <c r="I68" s="105">
        <f ca="1">PMT('Management Input'!$Q$6,70,-I66)</f>
        <v>-17.940137087419899</v>
      </c>
      <c r="J68" s="105">
        <f ca="1">PMT('Management Input'!$Q$6,70,-J66)</f>
        <v>75.936253998951358</v>
      </c>
      <c r="K68" s="105">
        <f ca="1">PMT('Management Input'!$Q$6,70,-K66)</f>
        <v>169.83762542255113</v>
      </c>
      <c r="L68" s="105">
        <f ca="1">PMT('Management Input'!$Q$6,70,-L66)</f>
        <v>250.56794102784943</v>
      </c>
      <c r="M68" s="105">
        <f ca="1">PMT('Management Input'!$Q$6,70,-M66)</f>
        <v>347.65495384574666</v>
      </c>
      <c r="N68" s="105">
        <f ca="1">PMT('Management Input'!$Q$6,70,-N66)</f>
        <v>478.52419728586892</v>
      </c>
      <c r="O68" s="105">
        <f ca="1">PMT('Management Input'!$Q$6,70,-O66)</f>
        <v>587.17241507329288</v>
      </c>
      <c r="P68" s="105">
        <f ca="1">PMT('Management Input'!$Q$6,70,-P66)</f>
        <v>751.74629122552665</v>
      </c>
      <c r="Q68" s="105">
        <f ca="1">PMT('Management Input'!$Q$6,70,-Q66)</f>
        <v>881.54051138464422</v>
      </c>
      <c r="R68" s="105">
        <f ca="1">PMT('Management Input'!$Q$6,70,-R66)</f>
        <v>1017.5783895401187</v>
      </c>
      <c r="S68" s="105">
        <f ca="1">PMT('Management Input'!$Q$6,70,-S66)</f>
        <v>1160.7445060866364</v>
      </c>
      <c r="T68" s="105">
        <f ca="1">PMT('Management Input'!$Q$6,70,-T66)</f>
        <v>1307.5607868152783</v>
      </c>
      <c r="U68" s="105">
        <f ca="1">PMT('Management Input'!$Q$6,70,-U66)</f>
        <v>1432.2883261177171</v>
      </c>
      <c r="V68" s="105">
        <f ca="1">PMT('Management Input'!$Q$6,70,-V66)</f>
        <v>1538.0835945578685</v>
      </c>
      <c r="W68" s="105">
        <f ca="1">PMT('Management Input'!$Q$6,70,-W66)</f>
        <v>1643.2851090216789</v>
      </c>
      <c r="X68" s="105">
        <f ca="1">PMT('Management Input'!$Q$6,70,-X66)</f>
        <v>1734.7959430567673</v>
      </c>
      <c r="Y68" s="105">
        <f ca="1">PMT('Management Input'!$Q$6,70,-Y66)</f>
        <v>1810.8220558251626</v>
      </c>
      <c r="Z68" s="105">
        <f ca="1">PMT('Management Input'!$Q$6,70,-Z66)</f>
        <v>1894.3946816496129</v>
      </c>
      <c r="AA68" s="105">
        <f ca="1">PMT('Management Input'!$Q$6,70,-AA66)</f>
        <v>1959.512184579112</v>
      </c>
      <c r="AB68" s="105">
        <f ca="1">PMT('Management Input'!$Q$6,70,-AB66)</f>
        <v>2020.6269532865674</v>
      </c>
      <c r="AC68" s="105">
        <f ca="1">PMT('Management Input'!$Q$6,70,-AC66)</f>
        <v>2073.3166573111826</v>
      </c>
      <c r="AD68" s="105">
        <f ca="1">PMT('Management Input'!$Q$6,70,-AD66)</f>
        <v>2115.5790346433578</v>
      </c>
      <c r="AE68" s="105">
        <f ca="1">PMT('Management Input'!$Q$6,70,-AE66)</f>
        <v>2161.9797939862165</v>
      </c>
      <c r="AF68" s="105">
        <f ca="1">PMT('Management Input'!$Q$6,70,-AF66)</f>
        <v>2196.5966536178234</v>
      </c>
      <c r="AG68" s="105">
        <f ca="1">PMT('Management Input'!$Q$6,70,-AG66)</f>
        <v>2230.7522833196413</v>
      </c>
      <c r="AH68" s="105">
        <f ca="1">PMT('Management Input'!$Q$6,70,-AH66)</f>
        <v>2257.9700240887137</v>
      </c>
      <c r="AI68" s="105">
        <f ca="1">PMT('Management Input'!$Q$6,70,-AI66)</f>
        <v>2284.1223160251352</v>
      </c>
      <c r="AJ68" s="105">
        <f ca="1">PMT('Management Input'!$Q$6,70,-AJ66)</f>
        <v>2303.4756309212707</v>
      </c>
      <c r="AK68" s="105">
        <f ca="1">PMT('Management Input'!$Q$6,70,-AK66)</f>
        <v>2324.02601293316</v>
      </c>
      <c r="AL68" s="105">
        <f ca="1">PMT('Management Input'!$Q$6,70,-AL66)</f>
        <v>2338.4333551119125</v>
      </c>
      <c r="AM68" s="105">
        <f ca="1">PMT('Management Input'!$Q$6,70,-AM66)</f>
        <v>2352.9913962826226</v>
      </c>
      <c r="AN68" s="105">
        <f ca="1">PMT('Management Input'!$Q$6,70,-AN66)</f>
        <v>2365.6447408945801</v>
      </c>
      <c r="AO68" s="105">
        <f ca="1">PMT('Management Input'!$Q$6,70,-AO66)</f>
        <v>2374.4333148945293</v>
      </c>
      <c r="AP68" s="105">
        <f ca="1">PMT('Management Input'!$Q$6,70,-AP66)</f>
        <v>2383.7090691175886</v>
      </c>
      <c r="AQ68" s="105">
        <f ca="1">PMT('Management Input'!$Q$6,70,-AQ66)</f>
        <v>2388.9764391236372</v>
      </c>
      <c r="AR68" s="105">
        <f ca="1">PMT('Management Input'!$Q$6,70,-AR66)</f>
        <v>2394.7017218169381</v>
      </c>
      <c r="AS68" s="105">
        <f ca="1">PMT('Management Input'!$Q$6,70,-AS66)</f>
        <v>2399.3298976859146</v>
      </c>
      <c r="AT68" s="105">
        <f ca="1">PMT('Management Input'!$Q$6,70,-AT66)</f>
        <v>2401.9076184979058</v>
      </c>
      <c r="AU68" s="105">
        <f ca="1">PMT('Management Input'!$Q$6,70,-AU66)</f>
        <v>2405.4802957747547</v>
      </c>
      <c r="AV68" s="105">
        <f ca="1">PMT('Management Input'!$Q$6,70,-AV66)</f>
        <v>2406.4271968384978</v>
      </c>
      <c r="AW68" s="105">
        <f ca="1">PMT('Management Input'!$Q$6,70,-AW66)</f>
        <v>2408.0618904173425</v>
      </c>
      <c r="AX68" s="105">
        <f ca="1">PMT('Management Input'!$Q$6,70,-AX66)</f>
        <v>2408.630684072446</v>
      </c>
      <c r="AY68" s="105">
        <f ca="1">PMT('Management Input'!$Q$6,70,-AY66)</f>
        <v>2408.55977624862</v>
      </c>
      <c r="AZ68" s="105">
        <f ca="1">PMT('Management Input'!$Q$6,70,-AZ66)</f>
        <v>2408.4956189860814</v>
      </c>
      <c r="BA68" s="105">
        <f ca="1">PMT('Management Input'!$Q$6,70,-BA66)</f>
        <v>2408.4345168312821</v>
      </c>
      <c r="BB68" s="105">
        <f ca="1">PMT('Management Input'!$Q$6,70,-BB66)</f>
        <v>2408.3792298436297</v>
      </c>
      <c r="BC68" s="105">
        <f ca="1">PMT('Management Input'!$Q$6,70,-BC66)</f>
        <v>2408.3293505335891</v>
      </c>
      <c r="BD68" s="105">
        <f ca="1">PMT('Management Input'!$Q$6,70,-BD66)</f>
        <v>2408.2818464287893</v>
      </c>
      <c r="BE68" s="105">
        <f ca="1">PMT('Management Input'!$Q$6,70,-BE66)</f>
        <v>2408.2387393542476</v>
      </c>
      <c r="BF68" s="105">
        <f ca="1">PMT('Management Input'!$Q$6,70,-BF66)</f>
        <v>2408.1999604931862</v>
      </c>
      <c r="BG68" s="105">
        <f ca="1">PMT('Management Input'!$Q$6,70,-BG66)</f>
        <v>2408.1630282445562</v>
      </c>
      <c r="BH68" s="105">
        <f ca="1">PMT('Management Input'!$Q$6,70,-BH66)</f>
        <v>2408.1294177700483</v>
      </c>
      <c r="BI68" s="105">
        <f ca="1">PMT('Management Input'!$Q$6,70,-BI66)</f>
        <v>2408.099268995657</v>
      </c>
      <c r="BJ68" s="105">
        <f ca="1">PMT('Management Input'!$Q$6,70,-BJ66)</f>
        <v>2408.0705558771883</v>
      </c>
      <c r="BK68" s="105">
        <f ca="1">PMT('Management Input'!$Q$6,70,-BK66)</f>
        <v>2408.0432100500761</v>
      </c>
    </row>
    <row r="69" spans="2:63" s="13" customFormat="1" hidden="1" x14ac:dyDescent="0.35">
      <c r="C69" s="101"/>
      <c r="D69" s="104" t="e">
        <f ca="1">IRR(D66,1)</f>
        <v>#NUM!</v>
      </c>
      <c r="E69" s="104" t="e">
        <f ca="1">IRR($D$66:E66,1)</f>
        <v>#NUM!</v>
      </c>
      <c r="F69" s="104" t="e">
        <f ca="1">IRR($D$66:F66,1)</f>
        <v>#NUM!</v>
      </c>
      <c r="G69" s="104" t="e">
        <f ca="1">IRR($D$66:G66,1)</f>
        <v>#NUM!</v>
      </c>
      <c r="H69" s="104" t="e">
        <f ca="1">IRR($D$66:H66,1)</f>
        <v>#NUM!</v>
      </c>
      <c r="I69" s="104" t="e">
        <f ca="1">IRR($D$66:I66,1)</f>
        <v>#NUM!</v>
      </c>
      <c r="J69" s="104" t="e">
        <f ca="1">IRR($D$66:J66,1)</f>
        <v>#NUM!</v>
      </c>
      <c r="K69" s="104">
        <f ca="1">IRR($D$66:K66,1)</f>
        <v>-9.2332709111893063E-2</v>
      </c>
      <c r="L69" s="104">
        <f ca="1">IRR($D$66:L66,1)</f>
        <v>5.931627602093914E-2</v>
      </c>
      <c r="M69" s="104">
        <f ca="1">IRR($D$66:M66,1)</f>
        <v>0.15340496942650073</v>
      </c>
      <c r="N69" s="104">
        <f ca="1">IRR($D$66:N66,1)</f>
        <v>0.2181449913416682</v>
      </c>
      <c r="O69" s="104">
        <f ca="1">IRR($D$66:O66,1)</f>
        <v>0.26110810062962164</v>
      </c>
      <c r="P69" s="104">
        <f ca="1">IRR($D$66:P66,1)</f>
        <v>0.29264557557946858</v>
      </c>
      <c r="Q69" s="104">
        <f ca="1">IRR($D$66:Q66,1)</f>
        <v>0.31474729891837816</v>
      </c>
      <c r="R69" s="104">
        <f ca="1">IRR($D$66:R66,1)</f>
        <v>0.33060587506180683</v>
      </c>
      <c r="S69" s="104">
        <f ca="1">IRR($D$66:S66,1)</f>
        <v>0.34218679615280312</v>
      </c>
      <c r="T69" s="104">
        <f ca="1">IRR($D$66:T66,1)</f>
        <v>0.35073338453506997</v>
      </c>
      <c r="U69" s="104">
        <f ca="1">IRR($D$66:U66,1)</f>
        <v>0.3569865921325297</v>
      </c>
      <c r="V69" s="104">
        <f ca="1">IRR($D$66:V66,1)</f>
        <v>0.36154783585473016</v>
      </c>
      <c r="W69" s="104">
        <f ca="1">IRR($D$66:W66,1)</f>
        <v>0.36490362629605899</v>
      </c>
      <c r="X69" s="104">
        <f ca="1">IRR($D$66:X66,1)</f>
        <v>0.36737012025475146</v>
      </c>
      <c r="Y69" s="104">
        <f ca="1">IRR($D$66:Y66,1)</f>
        <v>0.36917888052743719</v>
      </c>
      <c r="Z69" s="104">
        <f ca="1">IRR($D$66:Z66,1)</f>
        <v>0.37051789755718234</v>
      </c>
      <c r="AA69" s="104">
        <f ca="1">IRR($D$66:AA66,1)</f>
        <v>0.37150366362563259</v>
      </c>
      <c r="AB69" s="104">
        <f ca="1">IRR($D$66:AB66,1)</f>
        <v>0.37223053273855111</v>
      </c>
      <c r="AC69" s="104">
        <f ca="1">IRR($D$66:AC66,1)</f>
        <v>0.37276583878728098</v>
      </c>
      <c r="AD69" s="104">
        <f ca="1">IRR($D$66:AD66,1)</f>
        <v>0.37315905558315943</v>
      </c>
      <c r="AE69" s="104">
        <f ca="1">IRR($D$66:AE66,1)</f>
        <v>0.3734490217970845</v>
      </c>
      <c r="AF69" s="104">
        <f ca="1">IRR($D$66:AF66,1)</f>
        <v>0.37366200536357175</v>
      </c>
      <c r="AG69" s="104">
        <f ca="1">IRR($D$66:AG66,1)</f>
        <v>0.373818603009066</v>
      </c>
      <c r="AH69" s="104">
        <f ca="1">IRR($D$66:AH66,1)</f>
        <v>0.37393349486374738</v>
      </c>
      <c r="AI69" s="104">
        <f ca="1">IRR($D$66:AI66,1)</f>
        <v>0.37401781236250176</v>
      </c>
      <c r="AJ69" s="104">
        <f ca="1">IRR($D$66:AJ66,1)</f>
        <v>0.3740795446960572</v>
      </c>
      <c r="AK69" s="104">
        <f ca="1">IRR($D$66:AK66,1)</f>
        <v>0.37412478609377997</v>
      </c>
      <c r="AL69" s="104">
        <f ca="1">IRR($D$66:AL66,1)</f>
        <v>0.37415786623935521</v>
      </c>
      <c r="AM69" s="104">
        <f ca="1">IRR($D$66:AM66,1)</f>
        <v>0.37418206260023545</v>
      </c>
      <c r="AN69" s="104">
        <f ca="1">IRR($D$66:AN66,1)</f>
        <v>0.37419975039447118</v>
      </c>
      <c r="AO69" s="104">
        <f ca="1">IRR($D$66:AO66,1)</f>
        <v>0.37421266141881171</v>
      </c>
      <c r="AP69" s="104">
        <f ca="1">IRR($D$66:AP66,1)</f>
        <v>0.37422208884784247</v>
      </c>
      <c r="AQ69" s="104">
        <f ca="1">IRR($D$66:AQ66,1)</f>
        <v>0.37422896173525211</v>
      </c>
      <c r="AR69" s="104">
        <f ca="1">IRR($D$66:AR66,1)</f>
        <v>0.37423397363063482</v>
      </c>
      <c r="AS69" s="104">
        <f ca="1">IRR($D$66:AS66,1)</f>
        <v>0.37423762698219742</v>
      </c>
      <c r="AT69" s="104">
        <f ca="1">IRR($D$66:AT66,1)</f>
        <v>0.37424028788839481</v>
      </c>
      <c r="AU69" s="104">
        <f ca="1">IRR($D$66:AU66,1)</f>
        <v>0.37424222682035446</v>
      </c>
      <c r="AV69" s="104">
        <f ca="1">IRR($D$66:AV66,1)</f>
        <v>0.37424363816427575</v>
      </c>
      <c r="AW69" s="104">
        <f ca="1">IRR($D$66:AW66,1)</f>
        <v>0.37424466579263616</v>
      </c>
      <c r="AX69" s="104">
        <f ca="1">IRR($D$66:AX66,1)</f>
        <v>0.37424541371010589</v>
      </c>
      <c r="AY69" s="104">
        <f ca="1">IRR($D$66:AY66,1)</f>
        <v>0.37424595791315141</v>
      </c>
      <c r="AZ69" s="104">
        <f ca="1">IRR($D$66:AZ66,1)</f>
        <v>0.37424635389316174</v>
      </c>
      <c r="BA69" s="104">
        <f ca="1">IRR($D$66:BA66,1)</f>
        <v>0.37424664202347069</v>
      </c>
      <c r="BB69" s="104">
        <f ca="1">IRR($D$66:BB66,1)</f>
        <v>0.37424685167971328</v>
      </c>
      <c r="BC69" s="104">
        <f ca="1">IRR($D$66:BC66,1)</f>
        <v>0.37424700423568558</v>
      </c>
      <c r="BD69" s="104">
        <f ca="1">IRR($D$66:BD66,1)</f>
        <v>0.3742471152431659</v>
      </c>
      <c r="BE69" s="104">
        <f ca="1">IRR($D$66:BE66,1)</f>
        <v>0.37424719601816392</v>
      </c>
      <c r="BF69" s="104">
        <f ca="1">IRR($D$66:BF66,1)</f>
        <v>0.3742472547945801</v>
      </c>
      <c r="BG69" s="104">
        <f ca="1">IRR($D$66:BG66,1)</f>
        <v>0.37424729756367725</v>
      </c>
      <c r="BH69" s="104">
        <f ca="1">IRR($D$66:BH66,1)</f>
        <v>0.37424732868499833</v>
      </c>
      <c r="BI69" s="104">
        <f ca="1">IRR($D$66:BI66,1)</f>
        <v>0.37424735133075648</v>
      </c>
      <c r="BJ69" s="104">
        <f ca="1">IRR($D$66:BJ66,1)</f>
        <v>0.37424736780919932</v>
      </c>
      <c r="BK69" s="104">
        <f ca="1">IRR($D$66:BK66,1)</f>
        <v>0.37424737979993639</v>
      </c>
    </row>
    <row r="70" spans="2:63" s="13" customFormat="1" x14ac:dyDescent="0.35">
      <c r="C70" s="101"/>
    </row>
    <row r="71" spans="2:63" x14ac:dyDescent="0.35">
      <c r="B71" t="str">
        <f>"PV of Revenues @ "&amp;TEXT('Management Input'!Q6,"0%")</f>
        <v>PV of Revenues @ 5%</v>
      </c>
      <c r="D71" s="42">
        <f ca="1">NPV('Management Input'!$Q$6,D61:BK61)</f>
        <v>81330.992210587181</v>
      </c>
    </row>
    <row r="72" spans="2:63" x14ac:dyDescent="0.35">
      <c r="D72" s="42"/>
    </row>
    <row r="73" spans="2:63" x14ac:dyDescent="0.35">
      <c r="B73" t="str">
        <f>"PV of Costs @ "&amp;TEXT('Management Input'!Q6,"0%")</f>
        <v>PV of Costs @ 5%</v>
      </c>
      <c r="D73" s="42">
        <f ca="1">NPV('Management Input'!$Q$6,D63:BK63)</f>
        <v>34752.991042405258</v>
      </c>
    </row>
    <row r="75" spans="2:63" x14ac:dyDescent="0.35">
      <c r="B75" t="str">
        <f>"NPV @ "&amp;TEXT('Management Input'!Q6,"0%")</f>
        <v>NPV @ 5%</v>
      </c>
      <c r="D75" s="42">
        <f ca="1">D71-D73</f>
        <v>46578.001168181923</v>
      </c>
      <c r="E75" s="42"/>
    </row>
    <row r="77" spans="2:63" x14ac:dyDescent="0.35">
      <c r="B77" t="s">
        <v>172</v>
      </c>
      <c r="D77" s="11">
        <f ca="1">MIRR(D65:BK65,'Management Input'!Q6+1,'Management Input'!Q6)</f>
        <v>0.11823104376082361</v>
      </c>
    </row>
    <row r="79" spans="2:63" x14ac:dyDescent="0.35">
      <c r="B79" t="s">
        <v>171</v>
      </c>
      <c r="D79">
        <f ca="1">MATCH(0,D67:BK67,1)</f>
        <v>5</v>
      </c>
    </row>
    <row r="81" spans="2:11" x14ac:dyDescent="0.35">
      <c r="B81" t="str">
        <f>"AEV @ "&amp;TEXT('Management Input'!Q6,"0%")</f>
        <v>AEV @ 5%</v>
      </c>
      <c r="D81" s="42">
        <f ca="1">PMT('Management Input'!Q6,60,-D75)</f>
        <v>2460.6312406228253</v>
      </c>
    </row>
    <row r="83" spans="2:11" x14ac:dyDescent="0.35">
      <c r="B83" t="str">
        <f>"IRR @ "&amp;TEXT('Management Input'!Q6,"0%")</f>
        <v>IRR @ 5%</v>
      </c>
      <c r="D83" s="11">
        <f ca="1">IRR(D65:BK65)</f>
        <v>0.44295978242547407</v>
      </c>
    </row>
    <row r="85" spans="2:11" x14ac:dyDescent="0.35">
      <c r="B85" s="154"/>
    </row>
    <row r="86" spans="2:11" x14ac:dyDescent="0.35">
      <c r="B86" s="154"/>
      <c r="D86" s="85"/>
    </row>
    <row r="87" spans="2:11" x14ac:dyDescent="0.35">
      <c r="B87" s="154"/>
    </row>
    <row r="89" spans="2:11" x14ac:dyDescent="0.35">
      <c r="D89" s="108"/>
    </row>
    <row r="96" spans="2:11" x14ac:dyDescent="0.35">
      <c r="J96" s="140"/>
      <c r="K96" s="187"/>
    </row>
    <row r="97" spans="6:11" x14ac:dyDescent="0.35">
      <c r="J97" s="140"/>
      <c r="K97" s="187"/>
    </row>
    <row r="98" spans="6:11" ht="14.25" customHeight="1" x14ac:dyDescent="0.35">
      <c r="J98" s="140"/>
      <c r="K98" s="187"/>
    </row>
    <row r="99" spans="6:11" x14ac:dyDescent="0.35">
      <c r="J99" s="140"/>
      <c r="K99" s="187"/>
    </row>
    <row r="100" spans="6:11" x14ac:dyDescent="0.35">
      <c r="G100" s="36"/>
      <c r="I100" s="36"/>
      <c r="J100" s="36"/>
      <c r="K100" s="36"/>
    </row>
    <row r="102" spans="6:11" x14ac:dyDescent="0.35">
      <c r="F102" s="107"/>
      <c r="G102" s="108"/>
    </row>
  </sheetData>
  <sheetProtection sheet="1" objects="1" scenarios="1" selectLockedCells="1"/>
  <mergeCells count="9">
    <mergeCell ref="K96:K99"/>
    <mergeCell ref="A17:A23"/>
    <mergeCell ref="E27:G27"/>
    <mergeCell ref="A55:A59"/>
    <mergeCell ref="A1:A12"/>
    <mergeCell ref="A15:C15"/>
    <mergeCell ref="A16:C16"/>
    <mergeCell ref="A25:A36"/>
    <mergeCell ref="A39:A53"/>
  </mergeCells>
  <pageMargins left="0.7" right="0.7" top="0.75" bottom="0.75" header="0.3" footer="0.3"/>
  <pageSetup paperSize="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CM110"/>
  <sheetViews>
    <sheetView topLeftCell="A85" workbookViewId="0">
      <pane xSplit="18780" topLeftCell="AZ1"/>
      <selection activeCell="B76" sqref="B76"/>
      <selection pane="topRight" activeCell="BO103" sqref="BO103:BW103"/>
    </sheetView>
  </sheetViews>
  <sheetFormatPr defaultRowHeight="14.5" x14ac:dyDescent="0.35"/>
  <cols>
    <col min="1" max="1" width="26.1796875" customWidth="1"/>
    <col min="2" max="2" width="18.453125" customWidth="1"/>
    <col min="3" max="3" width="13.26953125" customWidth="1"/>
    <col min="4" max="4" width="14.26953125" customWidth="1"/>
    <col min="5" max="5" width="12.54296875" customWidth="1"/>
    <col min="7" max="7" width="12.81640625" customWidth="1"/>
  </cols>
  <sheetData>
    <row r="1" spans="1:11" x14ac:dyDescent="0.35">
      <c r="A1" s="5" t="s">
        <v>13</v>
      </c>
      <c r="B1" t="s">
        <v>31</v>
      </c>
      <c r="C1" t="s">
        <v>30</v>
      </c>
      <c r="D1" s="189" t="s">
        <v>32</v>
      </c>
      <c r="E1" s="189"/>
      <c r="F1" s="189"/>
      <c r="G1" s="189"/>
      <c r="H1" s="189"/>
      <c r="I1" s="189"/>
      <c r="J1" s="189"/>
      <c r="K1" s="189"/>
    </row>
    <row r="2" spans="1:11" x14ac:dyDescent="0.35">
      <c r="A2" t="s">
        <v>15</v>
      </c>
      <c r="B2" s="41">
        <v>100</v>
      </c>
      <c r="C2" s="31">
        <f>B2/'Cost Budgets'!$B$3</f>
        <v>2.0661157024793391</v>
      </c>
      <c r="D2" s="65">
        <v>1</v>
      </c>
      <c r="E2" s="65"/>
      <c r="F2" s="65"/>
      <c r="G2" s="65"/>
      <c r="H2" s="65"/>
      <c r="I2" s="65"/>
      <c r="J2" s="65"/>
      <c r="K2" s="65"/>
    </row>
    <row r="3" spans="1:11" x14ac:dyDescent="0.35">
      <c r="A3" t="s">
        <v>57</v>
      </c>
      <c r="B3" s="41">
        <v>120</v>
      </c>
      <c r="C3" s="31">
        <f>B3/'Cost Budgets'!$B$3</f>
        <v>2.4793388429752068</v>
      </c>
      <c r="D3" s="65">
        <v>1</v>
      </c>
      <c r="E3" s="65"/>
      <c r="F3" s="65"/>
      <c r="G3" s="65"/>
      <c r="H3" s="65"/>
      <c r="I3" s="65"/>
      <c r="J3" s="65"/>
      <c r="K3" s="65"/>
    </row>
    <row r="4" spans="1:11" x14ac:dyDescent="0.35">
      <c r="A4" t="s">
        <v>14</v>
      </c>
      <c r="B4" s="41">
        <v>150</v>
      </c>
      <c r="C4" s="31">
        <f>B4/'Cost Budgets'!$B$3</f>
        <v>3.0991735537190084</v>
      </c>
      <c r="D4" s="65">
        <v>1</v>
      </c>
      <c r="E4" s="65"/>
      <c r="F4" s="65"/>
      <c r="G4" s="65"/>
      <c r="H4" s="65"/>
      <c r="I4" s="65"/>
      <c r="J4" s="65"/>
      <c r="K4" s="65"/>
    </row>
    <row r="5" spans="1:11" x14ac:dyDescent="0.35">
      <c r="A5" s="6" t="s">
        <v>90</v>
      </c>
      <c r="B5" s="41">
        <v>0</v>
      </c>
      <c r="C5" s="41">
        <v>0</v>
      </c>
      <c r="D5" s="65"/>
      <c r="E5" s="65"/>
      <c r="F5" s="65"/>
      <c r="G5" s="65"/>
      <c r="H5" s="65"/>
      <c r="I5" s="65"/>
      <c r="J5" s="65"/>
      <c r="K5" s="65"/>
    </row>
    <row r="7" spans="1:11" x14ac:dyDescent="0.35">
      <c r="A7" s="5" t="s">
        <v>4</v>
      </c>
      <c r="B7" t="s">
        <v>31</v>
      </c>
      <c r="C7" t="s">
        <v>30</v>
      </c>
      <c r="D7" s="189" t="s">
        <v>32</v>
      </c>
      <c r="E7" s="189"/>
      <c r="F7" s="189"/>
      <c r="G7" s="189"/>
      <c r="H7" s="189"/>
      <c r="I7" s="189"/>
      <c r="J7" s="189"/>
      <c r="K7" s="189"/>
    </row>
    <row r="8" spans="1:11" x14ac:dyDescent="0.35">
      <c r="A8" t="s">
        <v>6</v>
      </c>
      <c r="B8" s="34"/>
      <c r="C8" s="34"/>
      <c r="D8" s="35"/>
      <c r="E8" s="35"/>
      <c r="F8" s="35"/>
      <c r="G8" s="35"/>
      <c r="H8" s="35"/>
      <c r="I8" s="35"/>
      <c r="J8" s="35"/>
      <c r="K8" s="35"/>
    </row>
    <row r="9" spans="1:11" x14ac:dyDescent="0.35">
      <c r="A9" t="s">
        <v>5</v>
      </c>
      <c r="B9" s="34"/>
      <c r="C9" s="34"/>
      <c r="D9" s="35"/>
      <c r="E9" s="195" t="s">
        <v>58</v>
      </c>
      <c r="F9" s="195"/>
      <c r="G9" s="35"/>
      <c r="H9" s="35"/>
      <c r="I9" s="35"/>
      <c r="J9" s="35"/>
      <c r="K9" s="35"/>
    </row>
    <row r="10" spans="1:11" x14ac:dyDescent="0.35">
      <c r="A10" t="s">
        <v>8</v>
      </c>
      <c r="B10" s="34"/>
      <c r="C10" s="34"/>
      <c r="D10" s="35"/>
      <c r="E10" s="35"/>
      <c r="F10" s="35"/>
      <c r="G10" s="35"/>
      <c r="H10" s="35"/>
      <c r="I10" s="35"/>
      <c r="J10" s="35"/>
      <c r="K10" s="35"/>
    </row>
    <row r="12" spans="1:11" x14ac:dyDescent="0.35">
      <c r="A12" s="5" t="s">
        <v>10</v>
      </c>
      <c r="B12" t="s">
        <v>31</v>
      </c>
      <c r="C12" t="s">
        <v>30</v>
      </c>
      <c r="D12" s="189" t="s">
        <v>32</v>
      </c>
      <c r="E12" s="189"/>
      <c r="F12" s="189"/>
      <c r="G12" s="189"/>
      <c r="H12" s="189"/>
      <c r="I12" s="189"/>
      <c r="J12" s="189"/>
      <c r="K12" s="189"/>
    </row>
    <row r="13" spans="1:11" x14ac:dyDescent="0.35">
      <c r="A13" t="s">
        <v>12</v>
      </c>
      <c r="B13" s="31">
        <f>C13*'Cost Budgets'!$B$3</f>
        <v>968</v>
      </c>
      <c r="C13" s="41">
        <v>20</v>
      </c>
      <c r="D13" s="65">
        <v>1</v>
      </c>
      <c r="E13" s="65"/>
      <c r="F13" s="65"/>
      <c r="G13" s="65"/>
      <c r="H13" s="65"/>
      <c r="I13" s="65"/>
      <c r="J13" s="65"/>
      <c r="K13" s="65"/>
    </row>
    <row r="14" spans="1:11" x14ac:dyDescent="0.35">
      <c r="A14" t="s">
        <v>11</v>
      </c>
      <c r="B14" s="31">
        <f>C14*'Cost Budgets'!$B$3</f>
        <v>169.4</v>
      </c>
      <c r="C14" s="41">
        <v>3.5</v>
      </c>
      <c r="D14" s="65">
        <v>1</v>
      </c>
      <c r="E14" s="65"/>
      <c r="F14" s="65"/>
      <c r="G14" s="65"/>
      <c r="H14" s="65"/>
      <c r="I14" s="65"/>
      <c r="J14" s="65"/>
      <c r="K14" s="65"/>
    </row>
    <row r="15" spans="1:11" x14ac:dyDescent="0.35">
      <c r="A15" t="s">
        <v>17</v>
      </c>
      <c r="B15" s="31">
        <f>C15*'Cost Budgets'!$B$3</f>
        <v>193.6</v>
      </c>
      <c r="C15" s="41">
        <v>4</v>
      </c>
      <c r="D15" s="65">
        <v>1</v>
      </c>
      <c r="E15" s="65"/>
      <c r="F15" s="65"/>
      <c r="G15" s="65"/>
      <c r="H15" s="65"/>
      <c r="I15" s="65"/>
      <c r="J15" s="65"/>
      <c r="K15" s="65"/>
    </row>
    <row r="16" spans="1:11" x14ac:dyDescent="0.35">
      <c r="A16" t="s">
        <v>18</v>
      </c>
      <c r="B16" s="31">
        <f>C16*'Cost Budgets'!$B$3</f>
        <v>847</v>
      </c>
      <c r="C16" s="41">
        <v>17.5</v>
      </c>
      <c r="D16" s="65">
        <v>1</v>
      </c>
      <c r="E16" s="65"/>
      <c r="F16" s="65"/>
      <c r="G16" s="65"/>
      <c r="H16" s="65"/>
      <c r="I16" s="65"/>
      <c r="J16" s="65"/>
      <c r="K16" s="65"/>
    </row>
    <row r="17" spans="1:11" x14ac:dyDescent="0.35">
      <c r="A17" s="6" t="s">
        <v>90</v>
      </c>
      <c r="B17" s="38">
        <f>C17*'Cost Budgets'!$B$3</f>
        <v>0</v>
      </c>
      <c r="C17" s="41">
        <v>0</v>
      </c>
      <c r="D17" s="65">
        <v>1</v>
      </c>
      <c r="E17" s="65"/>
      <c r="F17" s="65"/>
      <c r="G17" s="65"/>
      <c r="H17" s="65"/>
      <c r="I17" s="65"/>
      <c r="J17" s="65"/>
      <c r="K17" s="65"/>
    </row>
    <row r="19" spans="1:11" x14ac:dyDescent="0.35">
      <c r="A19" s="5" t="s">
        <v>40</v>
      </c>
      <c r="B19" t="s">
        <v>31</v>
      </c>
      <c r="C19" t="s">
        <v>30</v>
      </c>
      <c r="D19" s="189" t="s">
        <v>32</v>
      </c>
      <c r="E19" s="189"/>
      <c r="F19" s="189"/>
      <c r="G19" s="189"/>
      <c r="H19" s="189"/>
      <c r="I19" s="189"/>
      <c r="J19" s="189"/>
      <c r="K19" s="189"/>
    </row>
    <row r="20" spans="1:11" x14ac:dyDescent="0.35">
      <c r="A20" t="s">
        <v>22</v>
      </c>
      <c r="B20" s="31">
        <f>C20*'Cost Budgets'!B3</f>
        <v>49.368000000000002</v>
      </c>
      <c r="C20" s="41">
        <v>1.02</v>
      </c>
      <c r="D20" s="72">
        <v>1</v>
      </c>
      <c r="E20" s="65"/>
      <c r="F20" s="65"/>
      <c r="G20" s="65"/>
      <c r="H20" s="65"/>
      <c r="I20" s="65"/>
      <c r="J20" s="65"/>
      <c r="K20" s="65"/>
    </row>
    <row r="21" spans="1:11" x14ac:dyDescent="0.35">
      <c r="A21" t="s">
        <v>21</v>
      </c>
      <c r="B21" s="31">
        <v>0</v>
      </c>
      <c r="C21" s="41">
        <v>0</v>
      </c>
      <c r="D21" s="72">
        <v>1</v>
      </c>
      <c r="E21" s="65"/>
      <c r="F21" s="65"/>
      <c r="G21" s="65"/>
      <c r="H21" s="65"/>
      <c r="I21" s="65"/>
      <c r="J21" s="65"/>
      <c r="K21" s="65"/>
    </row>
    <row r="22" spans="1:11" x14ac:dyDescent="0.35">
      <c r="A22" s="6" t="s">
        <v>90</v>
      </c>
      <c r="B22" s="41">
        <v>0</v>
      </c>
      <c r="C22" s="41">
        <v>0</v>
      </c>
      <c r="D22" s="72">
        <v>1</v>
      </c>
      <c r="E22" s="65"/>
      <c r="F22" s="65"/>
      <c r="G22" s="65"/>
      <c r="H22" s="65"/>
      <c r="I22" s="65"/>
      <c r="J22" s="65"/>
      <c r="K22" s="65"/>
    </row>
    <row r="24" spans="1:11" x14ac:dyDescent="0.35">
      <c r="A24" s="5" t="s">
        <v>24</v>
      </c>
      <c r="B24" t="s">
        <v>31</v>
      </c>
      <c r="C24" t="s">
        <v>205</v>
      </c>
      <c r="D24" s="189" t="s">
        <v>32</v>
      </c>
      <c r="E24" s="189"/>
      <c r="F24" s="189"/>
      <c r="G24" s="189"/>
      <c r="H24" s="189"/>
      <c r="I24" s="189"/>
      <c r="J24" s="189"/>
      <c r="K24" s="189"/>
    </row>
    <row r="25" spans="1:11" x14ac:dyDescent="0.35">
      <c r="A25" s="11">
        <f>'Management Input'!E21</f>
        <v>0.1</v>
      </c>
      <c r="B25" s="41">
        <v>0</v>
      </c>
      <c r="C25" s="41">
        <v>4.2000000000000003E-2</v>
      </c>
      <c r="D25" s="35"/>
      <c r="E25" s="35"/>
      <c r="F25" s="195" t="s">
        <v>59</v>
      </c>
      <c r="G25" s="195"/>
      <c r="H25" s="195"/>
      <c r="I25" s="35"/>
      <c r="J25" s="35"/>
      <c r="K25" s="35"/>
    </row>
    <row r="26" spans="1:11" x14ac:dyDescent="0.35">
      <c r="A26" s="11"/>
    </row>
    <row r="27" spans="1:11" x14ac:dyDescent="0.35">
      <c r="A27" s="24" t="s">
        <v>29</v>
      </c>
      <c r="B27" t="s">
        <v>31</v>
      </c>
      <c r="C27" t="s">
        <v>30</v>
      </c>
      <c r="D27" s="189" t="s">
        <v>32</v>
      </c>
      <c r="E27" s="189"/>
      <c r="F27" s="189"/>
      <c r="G27" s="189"/>
      <c r="H27" s="189"/>
      <c r="I27" s="189"/>
      <c r="J27" s="189"/>
      <c r="K27" s="189"/>
    </row>
    <row r="28" spans="1:11" x14ac:dyDescent="0.35">
      <c r="A28" t="s">
        <v>39</v>
      </c>
      <c r="B28" s="31">
        <f>C28*'Cost Budgets'!$B$3</f>
        <v>67.275999999999996</v>
      </c>
      <c r="C28" s="41">
        <v>1.39</v>
      </c>
      <c r="D28" s="65">
        <v>1</v>
      </c>
      <c r="E28" s="65"/>
      <c r="F28" s="65"/>
      <c r="G28" s="65"/>
      <c r="H28" s="65"/>
      <c r="I28" s="65"/>
      <c r="J28" s="65"/>
      <c r="K28" s="65"/>
    </row>
    <row r="29" spans="1:11" x14ac:dyDescent="0.35">
      <c r="A29" t="s">
        <v>43</v>
      </c>
      <c r="B29" s="31">
        <f>C29*'Cost Budgets'!$B$3</f>
        <v>96.8</v>
      </c>
      <c r="C29" s="41">
        <v>2</v>
      </c>
      <c r="D29" s="65">
        <v>1</v>
      </c>
      <c r="E29" s="65"/>
      <c r="F29" s="65"/>
      <c r="G29" s="65"/>
      <c r="H29" s="65"/>
      <c r="I29" s="65"/>
      <c r="J29" s="65"/>
      <c r="K29" s="65"/>
    </row>
    <row r="30" spans="1:11" x14ac:dyDescent="0.35">
      <c r="A30" t="s">
        <v>38</v>
      </c>
      <c r="B30" s="31">
        <f>C30*'Cost Budgets'!$B$3</f>
        <v>338.8</v>
      </c>
      <c r="C30" s="41">
        <v>7</v>
      </c>
      <c r="D30" s="65">
        <v>1</v>
      </c>
      <c r="E30" s="65"/>
      <c r="F30" s="65"/>
      <c r="G30" s="65"/>
      <c r="H30" s="65"/>
      <c r="I30" s="65"/>
      <c r="J30" s="65"/>
      <c r="K30" s="65"/>
    </row>
    <row r="31" spans="1:11" x14ac:dyDescent="0.35">
      <c r="A31" s="6" t="s">
        <v>90</v>
      </c>
      <c r="B31" s="41">
        <v>0</v>
      </c>
      <c r="C31" s="41">
        <v>0</v>
      </c>
      <c r="D31" s="65">
        <v>1</v>
      </c>
      <c r="E31" s="65"/>
      <c r="F31" s="65"/>
      <c r="G31" s="65"/>
      <c r="H31" s="65"/>
      <c r="I31" s="65"/>
      <c r="J31" s="65"/>
      <c r="K31" s="65"/>
    </row>
    <row r="32" spans="1:11" x14ac:dyDescent="0.35">
      <c r="A32" t="s">
        <v>42</v>
      </c>
      <c r="B32" s="31">
        <f>C32*'Cost Budgets'!$B$3</f>
        <v>19.36</v>
      </c>
      <c r="C32" s="41">
        <v>0.4</v>
      </c>
      <c r="D32" s="65"/>
      <c r="E32" s="65"/>
      <c r="F32" s="65"/>
      <c r="G32" s="65"/>
      <c r="H32" s="65"/>
      <c r="I32" s="65"/>
      <c r="J32" s="65"/>
      <c r="K32" s="65"/>
    </row>
    <row r="34" spans="1:91" x14ac:dyDescent="0.35">
      <c r="A34" s="5" t="s">
        <v>41</v>
      </c>
      <c r="B34" t="s">
        <v>31</v>
      </c>
      <c r="C34" t="s">
        <v>30</v>
      </c>
      <c r="D34" s="189" t="s">
        <v>32</v>
      </c>
      <c r="E34" s="189"/>
      <c r="F34" s="189"/>
      <c r="G34" s="189"/>
      <c r="H34" s="189"/>
      <c r="I34" s="189"/>
      <c r="J34" s="189"/>
      <c r="K34" s="189"/>
    </row>
    <row r="35" spans="1:91" x14ac:dyDescent="0.35">
      <c r="A35" t="s">
        <v>45</v>
      </c>
      <c r="B35" s="41">
        <v>90</v>
      </c>
      <c r="C35" s="31">
        <f>B35/'Cost Budgets'!$B$3</f>
        <v>1.859504132231405</v>
      </c>
      <c r="D35" s="186" t="s">
        <v>157</v>
      </c>
      <c r="E35" s="186"/>
      <c r="F35" s="186"/>
      <c r="G35" s="100">
        <v>1</v>
      </c>
      <c r="H35" s="193" t="s">
        <v>158</v>
      </c>
      <c r="I35" s="194"/>
      <c r="J35" s="100">
        <v>30</v>
      </c>
      <c r="BA35">
        <f>G36</f>
        <v>2</v>
      </c>
      <c r="BB35">
        <f>G36+G35</f>
        <v>3</v>
      </c>
      <c r="BC35">
        <f t="shared" ref="BC35:CM35" si="0">IF(AND((BB35+$G$35)&lt;$J$35,BB35&gt;0),BB35+$G$35,0)</f>
        <v>4</v>
      </c>
      <c r="BD35">
        <f t="shared" si="0"/>
        <v>5</v>
      </c>
      <c r="BE35">
        <f t="shared" si="0"/>
        <v>6</v>
      </c>
      <c r="BF35">
        <f t="shared" si="0"/>
        <v>7</v>
      </c>
      <c r="BG35">
        <f t="shared" si="0"/>
        <v>8</v>
      </c>
      <c r="BH35">
        <f t="shared" si="0"/>
        <v>9</v>
      </c>
      <c r="BI35">
        <f t="shared" si="0"/>
        <v>10</v>
      </c>
      <c r="BJ35">
        <f t="shared" si="0"/>
        <v>11</v>
      </c>
      <c r="BK35">
        <f t="shared" si="0"/>
        <v>12</v>
      </c>
      <c r="BL35">
        <f t="shared" si="0"/>
        <v>13</v>
      </c>
      <c r="BM35">
        <f t="shared" si="0"/>
        <v>14</v>
      </c>
      <c r="BN35">
        <f t="shared" si="0"/>
        <v>15</v>
      </c>
      <c r="BO35">
        <f t="shared" si="0"/>
        <v>16</v>
      </c>
      <c r="BP35">
        <f t="shared" si="0"/>
        <v>17</v>
      </c>
      <c r="BQ35">
        <f t="shared" si="0"/>
        <v>18</v>
      </c>
      <c r="BR35">
        <f t="shared" si="0"/>
        <v>19</v>
      </c>
      <c r="BS35">
        <f t="shared" si="0"/>
        <v>20</v>
      </c>
      <c r="BT35">
        <f t="shared" si="0"/>
        <v>21</v>
      </c>
      <c r="BU35">
        <f t="shared" si="0"/>
        <v>22</v>
      </c>
      <c r="BV35">
        <f t="shared" si="0"/>
        <v>23</v>
      </c>
      <c r="BW35">
        <f t="shared" si="0"/>
        <v>24</v>
      </c>
      <c r="BX35">
        <f t="shared" si="0"/>
        <v>25</v>
      </c>
      <c r="BY35">
        <f t="shared" si="0"/>
        <v>26</v>
      </c>
      <c r="BZ35">
        <f t="shared" si="0"/>
        <v>27</v>
      </c>
      <c r="CA35">
        <f t="shared" si="0"/>
        <v>28</v>
      </c>
      <c r="CB35">
        <f t="shared" si="0"/>
        <v>29</v>
      </c>
      <c r="CC35">
        <f t="shared" si="0"/>
        <v>0</v>
      </c>
      <c r="CD35">
        <f t="shared" si="0"/>
        <v>0</v>
      </c>
      <c r="CE35">
        <f t="shared" si="0"/>
        <v>0</v>
      </c>
      <c r="CF35">
        <f t="shared" si="0"/>
        <v>0</v>
      </c>
      <c r="CG35">
        <f t="shared" si="0"/>
        <v>0</v>
      </c>
      <c r="CH35">
        <f t="shared" si="0"/>
        <v>0</v>
      </c>
      <c r="CI35">
        <f t="shared" si="0"/>
        <v>0</v>
      </c>
      <c r="CJ35">
        <f t="shared" si="0"/>
        <v>0</v>
      </c>
      <c r="CK35">
        <f t="shared" si="0"/>
        <v>0</v>
      </c>
      <c r="CL35">
        <f t="shared" si="0"/>
        <v>0</v>
      </c>
      <c r="CM35">
        <f t="shared" si="0"/>
        <v>0</v>
      </c>
    </row>
    <row r="36" spans="1:91" x14ac:dyDescent="0.35">
      <c r="A36" t="s">
        <v>46</v>
      </c>
      <c r="B36" s="41">
        <v>90</v>
      </c>
      <c r="C36" s="31">
        <f>B36/'Cost Budgets'!$B$3</f>
        <v>1.859504132231405</v>
      </c>
      <c r="D36" s="65"/>
      <c r="E36" s="186" t="s">
        <v>166</v>
      </c>
      <c r="F36" s="186"/>
      <c r="G36" s="100">
        <v>2</v>
      </c>
      <c r="H36" s="65"/>
      <c r="I36" s="65"/>
      <c r="J36" s="65"/>
    </row>
    <row r="37" spans="1:91" x14ac:dyDescent="0.35">
      <c r="A37" t="s">
        <v>44</v>
      </c>
      <c r="B37" s="41">
        <v>90</v>
      </c>
      <c r="C37" s="31">
        <f>B37/'Cost Budgets'!$B$3</f>
        <v>1.859504132231405</v>
      </c>
      <c r="D37" s="65"/>
      <c r="E37" s="65"/>
      <c r="F37" s="65"/>
      <c r="G37" s="65"/>
      <c r="H37" s="65"/>
      <c r="I37" s="65"/>
      <c r="J37" s="65"/>
    </row>
    <row r="38" spans="1:91" x14ac:dyDescent="0.35">
      <c r="A38" s="6" t="s">
        <v>90</v>
      </c>
      <c r="B38" s="41">
        <v>0</v>
      </c>
      <c r="C38" s="41">
        <v>0</v>
      </c>
      <c r="D38" s="65"/>
      <c r="E38" s="65"/>
      <c r="F38" s="65"/>
      <c r="G38" s="65"/>
      <c r="H38" s="65"/>
      <c r="I38" s="65"/>
      <c r="J38" s="65"/>
    </row>
    <row r="39" spans="1:91" x14ac:dyDescent="0.35">
      <c r="D39" s="65"/>
      <c r="E39" s="65"/>
      <c r="F39" s="65"/>
      <c r="G39" s="65"/>
      <c r="H39" s="65"/>
      <c r="I39" s="65"/>
      <c r="J39" s="65"/>
    </row>
    <row r="40" spans="1:91" x14ac:dyDescent="0.35">
      <c r="A40" s="5" t="s">
        <v>26</v>
      </c>
      <c r="B40" t="s">
        <v>31</v>
      </c>
      <c r="C40" t="s">
        <v>30</v>
      </c>
      <c r="D40" s="189" t="s">
        <v>32</v>
      </c>
      <c r="E40" s="189"/>
      <c r="F40" s="189"/>
      <c r="G40" s="189"/>
      <c r="H40" s="189"/>
      <c r="I40" s="189"/>
      <c r="J40" s="189"/>
      <c r="K40" s="189"/>
    </row>
    <row r="41" spans="1:91" x14ac:dyDescent="0.35">
      <c r="A41" t="s">
        <v>47</v>
      </c>
      <c r="B41" s="31">
        <f>C41*'Cost Budgets'!$B$3</f>
        <v>24.2</v>
      </c>
      <c r="C41" s="41">
        <v>0.5</v>
      </c>
      <c r="D41" s="186" t="s">
        <v>159</v>
      </c>
      <c r="E41" s="186"/>
      <c r="F41" s="186"/>
      <c r="G41" s="100">
        <v>2</v>
      </c>
      <c r="H41" s="193" t="s">
        <v>158</v>
      </c>
      <c r="I41" s="194"/>
      <c r="J41" s="100">
        <v>12</v>
      </c>
      <c r="K41" s="65"/>
      <c r="BA41">
        <f>G42</f>
        <v>5</v>
      </c>
      <c r="BB41">
        <f>G42+G41</f>
        <v>7</v>
      </c>
      <c r="BC41">
        <f>IF(AND((BB41+$G$41)&lt;$J$41,BB41&gt;0),BB41+$G$41,0)</f>
        <v>9</v>
      </c>
      <c r="BD41">
        <f t="shared" ref="BD41:CM41" si="1">IF(AND((BC41+$G$41)&lt;$J$41,BC41&gt;0),BC41+$G$41,0)</f>
        <v>11</v>
      </c>
      <c r="BE41">
        <f t="shared" si="1"/>
        <v>0</v>
      </c>
      <c r="BF41">
        <f t="shared" si="1"/>
        <v>0</v>
      </c>
      <c r="BG41">
        <f t="shared" si="1"/>
        <v>0</v>
      </c>
      <c r="BH41">
        <f t="shared" si="1"/>
        <v>0</v>
      </c>
      <c r="BI41">
        <f t="shared" si="1"/>
        <v>0</v>
      </c>
      <c r="BJ41">
        <f t="shared" si="1"/>
        <v>0</v>
      </c>
      <c r="BK41">
        <f t="shared" si="1"/>
        <v>0</v>
      </c>
      <c r="BL41">
        <f t="shared" si="1"/>
        <v>0</v>
      </c>
      <c r="BM41">
        <f t="shared" si="1"/>
        <v>0</v>
      </c>
      <c r="BN41">
        <f t="shared" si="1"/>
        <v>0</v>
      </c>
      <c r="BO41">
        <f t="shared" si="1"/>
        <v>0</v>
      </c>
      <c r="BP41">
        <f t="shared" si="1"/>
        <v>0</v>
      </c>
      <c r="BQ41">
        <f t="shared" si="1"/>
        <v>0</v>
      </c>
      <c r="BR41">
        <f t="shared" si="1"/>
        <v>0</v>
      </c>
      <c r="BS41">
        <f t="shared" si="1"/>
        <v>0</v>
      </c>
      <c r="BT41">
        <f t="shared" si="1"/>
        <v>0</v>
      </c>
      <c r="BU41">
        <f t="shared" si="1"/>
        <v>0</v>
      </c>
      <c r="BV41">
        <f t="shared" si="1"/>
        <v>0</v>
      </c>
      <c r="BW41">
        <f t="shared" si="1"/>
        <v>0</v>
      </c>
      <c r="BX41">
        <f t="shared" si="1"/>
        <v>0</v>
      </c>
      <c r="BY41">
        <f t="shared" si="1"/>
        <v>0</v>
      </c>
      <c r="BZ41">
        <f t="shared" si="1"/>
        <v>0</v>
      </c>
      <c r="CA41">
        <f t="shared" si="1"/>
        <v>0</v>
      </c>
      <c r="CB41">
        <f t="shared" si="1"/>
        <v>0</v>
      </c>
      <c r="CC41">
        <f t="shared" si="1"/>
        <v>0</v>
      </c>
      <c r="CD41">
        <f t="shared" si="1"/>
        <v>0</v>
      </c>
      <c r="CE41">
        <f t="shared" si="1"/>
        <v>0</v>
      </c>
      <c r="CF41">
        <f t="shared" si="1"/>
        <v>0</v>
      </c>
      <c r="CG41">
        <f t="shared" si="1"/>
        <v>0</v>
      </c>
      <c r="CH41">
        <f t="shared" si="1"/>
        <v>0</v>
      </c>
      <c r="CI41">
        <f t="shared" si="1"/>
        <v>0</v>
      </c>
      <c r="CJ41">
        <f t="shared" si="1"/>
        <v>0</v>
      </c>
      <c r="CK41">
        <f t="shared" si="1"/>
        <v>0</v>
      </c>
      <c r="CL41">
        <f t="shared" si="1"/>
        <v>0</v>
      </c>
      <c r="CM41">
        <f t="shared" si="1"/>
        <v>0</v>
      </c>
    </row>
    <row r="42" spans="1:91" x14ac:dyDescent="0.35">
      <c r="A42" t="s">
        <v>91</v>
      </c>
      <c r="B42" s="31">
        <f>C42*'Cost Budgets'!$B$3</f>
        <v>48.4</v>
      </c>
      <c r="C42" s="41">
        <v>1</v>
      </c>
      <c r="D42" s="65"/>
      <c r="E42" s="186" t="s">
        <v>166</v>
      </c>
      <c r="F42" s="186"/>
      <c r="G42" s="100">
        <v>5</v>
      </c>
      <c r="H42" s="65"/>
      <c r="I42" s="65"/>
      <c r="J42" s="65"/>
      <c r="K42" s="65"/>
    </row>
    <row r="43" spans="1:91" x14ac:dyDescent="0.35">
      <c r="A43" t="s">
        <v>48</v>
      </c>
      <c r="B43" s="31">
        <f>C43*'Cost Budgets'!$B$3</f>
        <v>24.2</v>
      </c>
      <c r="C43" s="41">
        <v>0.5</v>
      </c>
      <c r="D43" s="65"/>
      <c r="E43" s="65"/>
      <c r="F43" s="65"/>
      <c r="G43" s="65"/>
      <c r="H43" s="65"/>
      <c r="I43" s="65"/>
      <c r="J43" s="65"/>
      <c r="K43" s="65"/>
      <c r="N43" s="37"/>
      <c r="O43" s="68"/>
    </row>
    <row r="44" spans="1:91" x14ac:dyDescent="0.35">
      <c r="A44" s="6" t="s">
        <v>90</v>
      </c>
      <c r="B44" s="41">
        <v>0</v>
      </c>
      <c r="C44" s="41">
        <v>0</v>
      </c>
      <c r="D44" s="65"/>
      <c r="E44" s="65"/>
      <c r="F44" s="65"/>
      <c r="G44" s="65"/>
      <c r="H44" s="65"/>
      <c r="I44" s="65"/>
      <c r="J44" s="65"/>
      <c r="K44" s="65"/>
    </row>
    <row r="45" spans="1:91" x14ac:dyDescent="0.35">
      <c r="D45" s="65"/>
      <c r="E45" s="65"/>
      <c r="F45" s="65"/>
      <c r="G45" s="65"/>
      <c r="H45" s="65"/>
      <c r="I45" s="65"/>
      <c r="J45" s="65"/>
      <c r="K45" s="65"/>
    </row>
    <row r="46" spans="1:91" x14ac:dyDescent="0.35">
      <c r="A46" s="5" t="s">
        <v>49</v>
      </c>
      <c r="B46" t="s">
        <v>31</v>
      </c>
      <c r="C46" t="s">
        <v>30</v>
      </c>
      <c r="D46" s="189" t="s">
        <v>32</v>
      </c>
      <c r="E46" s="189"/>
      <c r="F46" s="189"/>
      <c r="G46" s="189"/>
      <c r="H46" s="189"/>
      <c r="I46" s="189"/>
      <c r="J46" s="189"/>
      <c r="K46" s="189"/>
    </row>
    <row r="47" spans="1:91" x14ac:dyDescent="0.35">
      <c r="A47" t="s">
        <v>50</v>
      </c>
      <c r="B47" s="41">
        <v>100</v>
      </c>
      <c r="C47" s="31">
        <f>B47/'Cost Budgets'!$B$3</f>
        <v>2.0661157024793391</v>
      </c>
      <c r="D47" s="186" t="s">
        <v>161</v>
      </c>
      <c r="E47" s="186"/>
      <c r="F47" s="186"/>
      <c r="G47" s="100">
        <v>5</v>
      </c>
      <c r="H47" s="193" t="s">
        <v>158</v>
      </c>
      <c r="I47" s="194"/>
      <c r="J47" s="100">
        <v>10</v>
      </c>
      <c r="K47" s="65"/>
      <c r="BA47">
        <f>G48</f>
        <v>2</v>
      </c>
      <c r="BB47">
        <f>G48+G47</f>
        <v>7</v>
      </c>
      <c r="BC47">
        <f>IF(AND((BB47+$G$47)&lt;$J$47,BB47&gt;0),BB47+$G$47,0)</f>
        <v>0</v>
      </c>
      <c r="BD47">
        <f t="shared" ref="BD47:CM47" si="2">IF(AND((BC47+$G$47)&lt;$J$47,BC47&gt;0),BC47+$G$47,0)</f>
        <v>0</v>
      </c>
      <c r="BE47">
        <f t="shared" si="2"/>
        <v>0</v>
      </c>
      <c r="BF47">
        <f t="shared" si="2"/>
        <v>0</v>
      </c>
      <c r="BG47">
        <f t="shared" si="2"/>
        <v>0</v>
      </c>
      <c r="BH47">
        <f t="shared" si="2"/>
        <v>0</v>
      </c>
      <c r="BI47">
        <f t="shared" si="2"/>
        <v>0</v>
      </c>
      <c r="BJ47">
        <f t="shared" si="2"/>
        <v>0</v>
      </c>
      <c r="BK47">
        <f t="shared" si="2"/>
        <v>0</v>
      </c>
      <c r="BL47">
        <f t="shared" si="2"/>
        <v>0</v>
      </c>
      <c r="BM47">
        <f t="shared" si="2"/>
        <v>0</v>
      </c>
      <c r="BN47">
        <f t="shared" si="2"/>
        <v>0</v>
      </c>
      <c r="BO47">
        <f t="shared" si="2"/>
        <v>0</v>
      </c>
      <c r="BP47">
        <f t="shared" si="2"/>
        <v>0</v>
      </c>
      <c r="BQ47">
        <f t="shared" si="2"/>
        <v>0</v>
      </c>
      <c r="BR47">
        <f t="shared" si="2"/>
        <v>0</v>
      </c>
      <c r="BS47">
        <f t="shared" si="2"/>
        <v>0</v>
      </c>
      <c r="BT47">
        <f t="shared" si="2"/>
        <v>0</v>
      </c>
      <c r="BU47">
        <f t="shared" si="2"/>
        <v>0</v>
      </c>
      <c r="BV47">
        <f t="shared" si="2"/>
        <v>0</v>
      </c>
      <c r="BW47">
        <f t="shared" si="2"/>
        <v>0</v>
      </c>
      <c r="BX47">
        <f t="shared" si="2"/>
        <v>0</v>
      </c>
      <c r="BY47">
        <f t="shared" si="2"/>
        <v>0</v>
      </c>
      <c r="BZ47">
        <f t="shared" si="2"/>
        <v>0</v>
      </c>
      <c r="CA47">
        <f t="shared" si="2"/>
        <v>0</v>
      </c>
      <c r="CB47">
        <f t="shared" si="2"/>
        <v>0</v>
      </c>
      <c r="CC47">
        <f t="shared" si="2"/>
        <v>0</v>
      </c>
      <c r="CD47">
        <f t="shared" si="2"/>
        <v>0</v>
      </c>
      <c r="CE47">
        <f t="shared" si="2"/>
        <v>0</v>
      </c>
      <c r="CF47">
        <f t="shared" si="2"/>
        <v>0</v>
      </c>
      <c r="CG47">
        <f t="shared" si="2"/>
        <v>0</v>
      </c>
      <c r="CH47">
        <f t="shared" si="2"/>
        <v>0</v>
      </c>
      <c r="CI47">
        <f t="shared" si="2"/>
        <v>0</v>
      </c>
      <c r="CJ47">
        <f t="shared" si="2"/>
        <v>0</v>
      </c>
      <c r="CK47">
        <f t="shared" si="2"/>
        <v>0</v>
      </c>
      <c r="CL47">
        <f t="shared" si="2"/>
        <v>0</v>
      </c>
      <c r="CM47">
        <f t="shared" si="2"/>
        <v>0</v>
      </c>
    </row>
    <row r="48" spans="1:91" x14ac:dyDescent="0.35">
      <c r="A48" t="s">
        <v>52</v>
      </c>
      <c r="B48" s="41">
        <v>120</v>
      </c>
      <c r="C48" s="31">
        <f>B48/'Cost Budgets'!$B$3</f>
        <v>2.4793388429752068</v>
      </c>
      <c r="D48" s="65"/>
      <c r="E48" s="186" t="s">
        <v>166</v>
      </c>
      <c r="F48" s="186"/>
      <c r="G48" s="100">
        <v>2</v>
      </c>
      <c r="H48" s="65"/>
      <c r="I48" s="65"/>
      <c r="J48" s="65"/>
      <c r="K48" s="65"/>
    </row>
    <row r="49" spans="1:91" x14ac:dyDescent="0.35">
      <c r="A49" t="s">
        <v>92</v>
      </c>
      <c r="B49" s="31">
        <f>C49*'Cost Budgets'!B3</f>
        <v>62.92</v>
      </c>
      <c r="C49" s="41">
        <v>1.3</v>
      </c>
      <c r="D49" s="65"/>
      <c r="E49" s="65"/>
      <c r="F49" s="65"/>
      <c r="G49" s="65"/>
      <c r="H49" s="65"/>
      <c r="I49" s="65"/>
      <c r="J49" s="65"/>
      <c r="K49" s="65"/>
    </row>
    <row r="50" spans="1:91" x14ac:dyDescent="0.35">
      <c r="A50" t="s">
        <v>51</v>
      </c>
      <c r="B50" s="41">
        <v>10</v>
      </c>
      <c r="C50" s="31">
        <f>B50/'Cost Budgets'!$B$3</f>
        <v>0.20661157024793389</v>
      </c>
      <c r="D50" s="65"/>
      <c r="E50" s="65"/>
      <c r="F50" s="65"/>
      <c r="G50" s="65"/>
      <c r="H50" s="65"/>
      <c r="I50" s="65"/>
      <c r="J50" s="65"/>
      <c r="K50" s="65"/>
    </row>
    <row r="51" spans="1:91" x14ac:dyDescent="0.35">
      <c r="A51" s="6" t="s">
        <v>90</v>
      </c>
      <c r="B51" s="41">
        <v>0</v>
      </c>
      <c r="C51" s="41">
        <v>0</v>
      </c>
      <c r="D51" s="65"/>
      <c r="E51" s="65"/>
      <c r="F51" s="65"/>
      <c r="G51" s="65"/>
      <c r="H51" s="65"/>
      <c r="I51" s="65"/>
      <c r="J51" s="65"/>
      <c r="K51" s="65"/>
    </row>
    <row r="53" spans="1:91" x14ac:dyDescent="0.35">
      <c r="A53" s="5" t="s">
        <v>70</v>
      </c>
      <c r="B53" t="s">
        <v>31</v>
      </c>
      <c r="C53" t="s">
        <v>30</v>
      </c>
      <c r="D53" s="189" t="s">
        <v>32</v>
      </c>
      <c r="E53" s="189"/>
      <c r="F53" s="189"/>
      <c r="G53" s="189"/>
      <c r="H53" s="189"/>
      <c r="I53" s="189"/>
      <c r="J53" s="189"/>
      <c r="K53" s="189"/>
    </row>
    <row r="54" spans="1:91" x14ac:dyDescent="0.35">
      <c r="A54" t="s">
        <v>60</v>
      </c>
      <c r="B54" s="38">
        <f>'Chemical costs'!H2</f>
        <v>8.1442165089999996</v>
      </c>
      <c r="C54" s="31">
        <f>B54/'Cost Budgets'!$B$3</f>
        <v>0.16826893613636362</v>
      </c>
      <c r="D54" s="186" t="s">
        <v>160</v>
      </c>
      <c r="E54" s="186"/>
      <c r="F54" s="186"/>
      <c r="G54" s="100">
        <v>3</v>
      </c>
      <c r="H54" s="193" t="s">
        <v>158</v>
      </c>
      <c r="I54" s="194"/>
      <c r="J54" s="100">
        <v>15</v>
      </c>
      <c r="K54" s="65"/>
      <c r="BA54">
        <f>G55</f>
        <v>5</v>
      </c>
      <c r="BB54">
        <f>G55+G54</f>
        <v>8</v>
      </c>
      <c r="BC54">
        <f>IF(AND((BB54+$G$54)&lt;$J$54,BB54&gt;0),BB54+$G$54,0)</f>
        <v>11</v>
      </c>
      <c r="BD54">
        <f t="shared" ref="BD54:CM54" si="3">IF(AND((BC54+$G$54)&lt;$J$54,BC54&gt;0),BC54+$G$54,0)</f>
        <v>14</v>
      </c>
      <c r="BE54">
        <f t="shared" si="3"/>
        <v>0</v>
      </c>
      <c r="BF54">
        <f t="shared" si="3"/>
        <v>0</v>
      </c>
      <c r="BG54">
        <f t="shared" si="3"/>
        <v>0</v>
      </c>
      <c r="BH54">
        <f t="shared" si="3"/>
        <v>0</v>
      </c>
      <c r="BI54">
        <f t="shared" si="3"/>
        <v>0</v>
      </c>
      <c r="BJ54">
        <f t="shared" si="3"/>
        <v>0</v>
      </c>
      <c r="BK54">
        <f t="shared" si="3"/>
        <v>0</v>
      </c>
      <c r="BL54">
        <f t="shared" si="3"/>
        <v>0</v>
      </c>
      <c r="BM54">
        <f t="shared" si="3"/>
        <v>0</v>
      </c>
      <c r="BN54">
        <f t="shared" si="3"/>
        <v>0</v>
      </c>
      <c r="BO54">
        <f t="shared" si="3"/>
        <v>0</v>
      </c>
      <c r="BP54">
        <f t="shared" si="3"/>
        <v>0</v>
      </c>
      <c r="BQ54">
        <f t="shared" si="3"/>
        <v>0</v>
      </c>
      <c r="BR54">
        <f t="shared" si="3"/>
        <v>0</v>
      </c>
      <c r="BS54">
        <f t="shared" si="3"/>
        <v>0</v>
      </c>
      <c r="BT54">
        <f t="shared" si="3"/>
        <v>0</v>
      </c>
      <c r="BU54">
        <f t="shared" si="3"/>
        <v>0</v>
      </c>
      <c r="BV54">
        <f t="shared" si="3"/>
        <v>0</v>
      </c>
      <c r="BW54">
        <f t="shared" si="3"/>
        <v>0</v>
      </c>
      <c r="BX54">
        <f t="shared" si="3"/>
        <v>0</v>
      </c>
      <c r="BY54">
        <f t="shared" si="3"/>
        <v>0</v>
      </c>
      <c r="BZ54">
        <f t="shared" si="3"/>
        <v>0</v>
      </c>
      <c r="CA54">
        <f t="shared" si="3"/>
        <v>0</v>
      </c>
      <c r="CB54">
        <f t="shared" si="3"/>
        <v>0</v>
      </c>
      <c r="CC54">
        <f t="shared" si="3"/>
        <v>0</v>
      </c>
      <c r="CD54">
        <f t="shared" si="3"/>
        <v>0</v>
      </c>
      <c r="CE54">
        <f t="shared" si="3"/>
        <v>0</v>
      </c>
      <c r="CF54">
        <f t="shared" si="3"/>
        <v>0</v>
      </c>
      <c r="CG54">
        <f t="shared" si="3"/>
        <v>0</v>
      </c>
      <c r="CH54">
        <f t="shared" si="3"/>
        <v>0</v>
      </c>
      <c r="CI54">
        <f t="shared" si="3"/>
        <v>0</v>
      </c>
      <c r="CJ54">
        <f t="shared" si="3"/>
        <v>0</v>
      </c>
      <c r="CK54">
        <f t="shared" si="3"/>
        <v>0</v>
      </c>
      <c r="CL54">
        <f t="shared" si="3"/>
        <v>0</v>
      </c>
      <c r="CM54">
        <f t="shared" si="3"/>
        <v>0</v>
      </c>
    </row>
    <row r="55" spans="1:91" x14ac:dyDescent="0.35">
      <c r="A55" t="s">
        <v>61</v>
      </c>
      <c r="B55" s="38">
        <f>'Chemical costs'!H3</f>
        <v>0</v>
      </c>
      <c r="C55" s="31">
        <f>B55/'Cost Budgets'!$B$3</f>
        <v>0</v>
      </c>
      <c r="D55" s="65"/>
      <c r="E55" s="186" t="s">
        <v>166</v>
      </c>
      <c r="F55" s="186"/>
      <c r="G55" s="100">
        <v>5</v>
      </c>
      <c r="H55" s="65"/>
      <c r="I55" s="65"/>
      <c r="J55" s="65"/>
      <c r="K55" s="65"/>
    </row>
    <row r="56" spans="1:91" x14ac:dyDescent="0.35">
      <c r="A56" t="s">
        <v>66</v>
      </c>
      <c r="B56" s="38">
        <f>'Chemical costs'!H8</f>
        <v>33</v>
      </c>
      <c r="C56" s="31">
        <f>B56/'Cost Budgets'!$B$3</f>
        <v>0.68181818181818188</v>
      </c>
      <c r="D56" s="65"/>
      <c r="E56" s="65"/>
      <c r="F56" s="65"/>
      <c r="G56" s="65"/>
      <c r="H56" s="65"/>
      <c r="I56" s="65"/>
      <c r="J56" s="65"/>
      <c r="K56" s="65"/>
    </row>
    <row r="57" spans="1:91" x14ac:dyDescent="0.35">
      <c r="A57" t="s">
        <v>68</v>
      </c>
      <c r="B57" s="38">
        <f>'Chemical costs'!H10</f>
        <v>89.32</v>
      </c>
      <c r="C57" s="31">
        <f>B57/'Cost Budgets'!$B$3</f>
        <v>1.8454545454545455</v>
      </c>
      <c r="D57" s="65"/>
      <c r="E57" s="65"/>
      <c r="F57" s="65"/>
      <c r="G57" s="65"/>
      <c r="H57" s="65"/>
      <c r="I57" s="65"/>
      <c r="J57" s="65"/>
      <c r="K57" s="65"/>
    </row>
    <row r="58" spans="1:91" x14ac:dyDescent="0.35">
      <c r="A58" t="s">
        <v>64</v>
      </c>
      <c r="B58" s="38">
        <f>'Chemical costs'!H6</f>
        <v>20.233125000000001</v>
      </c>
      <c r="C58" s="31">
        <f>B58/'Cost Budgets'!$B$3</f>
        <v>0.41803977272727277</v>
      </c>
      <c r="D58" s="65"/>
      <c r="E58" s="65"/>
      <c r="F58" s="65"/>
      <c r="G58" s="65"/>
      <c r="H58" s="65"/>
      <c r="I58" s="65"/>
      <c r="J58" s="65"/>
      <c r="K58" s="65"/>
    </row>
    <row r="59" spans="1:91" x14ac:dyDescent="0.35">
      <c r="A59" t="s">
        <v>67</v>
      </c>
      <c r="B59" s="38">
        <f>'Chemical costs'!H9</f>
        <v>0</v>
      </c>
      <c r="C59" s="31">
        <f>B59/'Cost Budgets'!$B$3</f>
        <v>0</v>
      </c>
      <c r="D59" s="65"/>
      <c r="E59" s="65"/>
      <c r="F59" s="65"/>
      <c r="G59" s="65"/>
      <c r="H59" s="65"/>
      <c r="I59" s="65"/>
      <c r="J59" s="65"/>
      <c r="K59" s="65"/>
    </row>
    <row r="60" spans="1:91" x14ac:dyDescent="0.35">
      <c r="A60" t="s">
        <v>62</v>
      </c>
      <c r="B60" s="38">
        <f>'Chemical costs'!H4</f>
        <v>16.456</v>
      </c>
      <c r="C60" s="31">
        <f>B60/'Cost Budgets'!$B$3</f>
        <v>0.34</v>
      </c>
      <c r="D60" s="65"/>
      <c r="E60" s="65"/>
      <c r="F60" s="65"/>
      <c r="G60" s="65"/>
      <c r="H60" s="65"/>
      <c r="I60" s="65"/>
      <c r="J60" s="65"/>
      <c r="K60" s="65"/>
    </row>
    <row r="61" spans="1:91" x14ac:dyDescent="0.35">
      <c r="A61" t="s">
        <v>71</v>
      </c>
      <c r="B61" s="38">
        <v>0</v>
      </c>
      <c r="C61" s="31">
        <f>B61/'Cost Budgets'!$B$3</f>
        <v>0</v>
      </c>
      <c r="D61" s="65"/>
      <c r="E61" s="65"/>
      <c r="F61" s="65"/>
      <c r="G61" s="65"/>
      <c r="H61" s="65"/>
      <c r="I61" s="65"/>
      <c r="J61" s="65"/>
      <c r="K61" s="65"/>
    </row>
    <row r="62" spans="1:91" x14ac:dyDescent="0.35">
      <c r="A62" t="s">
        <v>65</v>
      </c>
      <c r="B62" s="38">
        <f>'Chemical costs'!H7</f>
        <v>34.256250000000001</v>
      </c>
      <c r="C62" s="31">
        <f>B62/'Cost Budgets'!$B$3</f>
        <v>0.70777376033057859</v>
      </c>
      <c r="D62" s="65"/>
      <c r="E62" s="65"/>
      <c r="F62" s="65"/>
      <c r="G62" s="65"/>
      <c r="H62" s="65"/>
      <c r="I62" s="65"/>
      <c r="J62" s="65"/>
      <c r="K62" s="65"/>
    </row>
    <row r="63" spans="1:91" x14ac:dyDescent="0.35">
      <c r="A63" t="s">
        <v>69</v>
      </c>
      <c r="B63" s="38">
        <f>'Chemical costs'!H11</f>
        <v>0</v>
      </c>
      <c r="C63" s="31">
        <f>B63/'Cost Budgets'!$B$3</f>
        <v>0</v>
      </c>
      <c r="D63" s="65"/>
      <c r="E63" s="65"/>
      <c r="F63" s="65"/>
      <c r="G63" s="65"/>
      <c r="H63" s="65"/>
      <c r="I63" s="65"/>
      <c r="J63" s="65"/>
      <c r="K63" s="65"/>
    </row>
    <row r="64" spans="1:91" x14ac:dyDescent="0.35">
      <c r="A64" s="6" t="s">
        <v>90</v>
      </c>
      <c r="B64" s="41">
        <v>0</v>
      </c>
      <c r="C64" s="41">
        <v>0</v>
      </c>
      <c r="D64" s="65"/>
      <c r="E64" s="65"/>
      <c r="F64" s="65"/>
      <c r="G64" s="65"/>
      <c r="H64" s="65"/>
      <c r="I64" s="65"/>
      <c r="J64" s="65"/>
      <c r="K64" s="65"/>
    </row>
    <row r="65" spans="1:91" x14ac:dyDescent="0.35">
      <c r="A65" t="s">
        <v>63</v>
      </c>
      <c r="B65" s="38">
        <f>'Chemical costs'!H5</f>
        <v>9.4079999999999995</v>
      </c>
      <c r="C65" s="31">
        <f>B65/'Cost Budgets'!$B$3</f>
        <v>0.1943801652892562</v>
      </c>
      <c r="D65" s="65"/>
      <c r="E65" s="65"/>
      <c r="F65" s="65"/>
      <c r="G65" s="65"/>
      <c r="H65" s="65"/>
      <c r="I65" s="65"/>
      <c r="J65" s="65"/>
      <c r="K65" s="65"/>
    </row>
    <row r="66" spans="1:91" x14ac:dyDescent="0.35">
      <c r="B66" s="30"/>
      <c r="C66" s="30"/>
    </row>
    <row r="67" spans="1:91" x14ac:dyDescent="0.35">
      <c r="A67" s="5" t="s">
        <v>27</v>
      </c>
      <c r="B67" t="s">
        <v>31</v>
      </c>
      <c r="C67" t="s">
        <v>30</v>
      </c>
      <c r="D67" s="189" t="s">
        <v>32</v>
      </c>
      <c r="E67" s="189"/>
      <c r="F67" s="189"/>
      <c r="G67" s="189"/>
      <c r="H67" s="189"/>
      <c r="I67" s="189"/>
      <c r="J67" s="189"/>
      <c r="K67" s="189"/>
    </row>
    <row r="68" spans="1:91" x14ac:dyDescent="0.35">
      <c r="A68" t="s">
        <v>72</v>
      </c>
      <c r="B68" s="31">
        <f>'Chemical costs'!H12</f>
        <v>0</v>
      </c>
      <c r="C68" s="31">
        <f>B68/'Cost Budgets'!$B$3</f>
        <v>0</v>
      </c>
      <c r="D68" s="186" t="s">
        <v>162</v>
      </c>
      <c r="E68" s="186"/>
      <c r="F68" s="186"/>
      <c r="G68" s="100">
        <v>3</v>
      </c>
      <c r="H68" s="193" t="s">
        <v>158</v>
      </c>
      <c r="I68" s="194"/>
      <c r="J68" s="100">
        <v>15</v>
      </c>
      <c r="K68" s="65"/>
      <c r="BA68">
        <f>G69</f>
        <v>2</v>
      </c>
      <c r="BB68">
        <f>G69+G68</f>
        <v>5</v>
      </c>
      <c r="BC68">
        <f>IF(AND((BB68+$G$68)&lt;$J$68,BB68&gt;0),BB68+$G$68,0)</f>
        <v>8</v>
      </c>
      <c r="BD68">
        <f t="shared" ref="BD68:CM68" si="4">IF(AND((BC68+$G$68)&lt;$J$68,BC68&gt;0),BC68+$G$68,0)</f>
        <v>11</v>
      </c>
      <c r="BE68">
        <f t="shared" si="4"/>
        <v>14</v>
      </c>
      <c r="BF68">
        <f t="shared" si="4"/>
        <v>0</v>
      </c>
      <c r="BG68">
        <f t="shared" si="4"/>
        <v>0</v>
      </c>
      <c r="BH68">
        <f t="shared" si="4"/>
        <v>0</v>
      </c>
      <c r="BI68">
        <f t="shared" si="4"/>
        <v>0</v>
      </c>
      <c r="BJ68">
        <f t="shared" si="4"/>
        <v>0</v>
      </c>
      <c r="BK68">
        <f t="shared" si="4"/>
        <v>0</v>
      </c>
      <c r="BL68">
        <f t="shared" si="4"/>
        <v>0</v>
      </c>
      <c r="BM68">
        <f t="shared" si="4"/>
        <v>0</v>
      </c>
      <c r="BN68">
        <f t="shared" si="4"/>
        <v>0</v>
      </c>
      <c r="BO68">
        <f t="shared" si="4"/>
        <v>0</v>
      </c>
      <c r="BP68">
        <f t="shared" si="4"/>
        <v>0</v>
      </c>
      <c r="BQ68">
        <f t="shared" si="4"/>
        <v>0</v>
      </c>
      <c r="BR68">
        <f t="shared" si="4"/>
        <v>0</v>
      </c>
      <c r="BS68">
        <f t="shared" si="4"/>
        <v>0</v>
      </c>
      <c r="BT68">
        <f t="shared" si="4"/>
        <v>0</v>
      </c>
      <c r="BU68">
        <f t="shared" si="4"/>
        <v>0</v>
      </c>
      <c r="BV68">
        <f t="shared" si="4"/>
        <v>0</v>
      </c>
      <c r="BW68">
        <f t="shared" si="4"/>
        <v>0</v>
      </c>
      <c r="BX68">
        <f t="shared" si="4"/>
        <v>0</v>
      </c>
      <c r="BY68">
        <f t="shared" si="4"/>
        <v>0</v>
      </c>
      <c r="BZ68">
        <f t="shared" si="4"/>
        <v>0</v>
      </c>
      <c r="CA68">
        <f t="shared" si="4"/>
        <v>0</v>
      </c>
      <c r="CB68">
        <f t="shared" si="4"/>
        <v>0</v>
      </c>
      <c r="CC68">
        <f t="shared" si="4"/>
        <v>0</v>
      </c>
      <c r="CD68">
        <f t="shared" si="4"/>
        <v>0</v>
      </c>
      <c r="CE68">
        <f t="shared" si="4"/>
        <v>0</v>
      </c>
      <c r="CF68">
        <f t="shared" si="4"/>
        <v>0</v>
      </c>
      <c r="CG68">
        <f t="shared" si="4"/>
        <v>0</v>
      </c>
      <c r="CH68">
        <f t="shared" si="4"/>
        <v>0</v>
      </c>
      <c r="CI68">
        <f t="shared" si="4"/>
        <v>0</v>
      </c>
      <c r="CJ68">
        <f t="shared" si="4"/>
        <v>0</v>
      </c>
      <c r="CK68">
        <f t="shared" si="4"/>
        <v>0</v>
      </c>
      <c r="CL68">
        <f t="shared" si="4"/>
        <v>0</v>
      </c>
      <c r="CM68">
        <f t="shared" si="4"/>
        <v>0</v>
      </c>
    </row>
    <row r="69" spans="1:91" x14ac:dyDescent="0.35">
      <c r="A69" t="s">
        <v>73</v>
      </c>
      <c r="B69" s="31">
        <f>'Chemical costs'!H13</f>
        <v>0</v>
      </c>
      <c r="C69" s="31">
        <f>B69/'Cost Budgets'!$B$3</f>
        <v>0</v>
      </c>
      <c r="D69" s="65"/>
      <c r="E69" s="186" t="s">
        <v>166</v>
      </c>
      <c r="F69" s="186"/>
      <c r="G69" s="100">
        <v>2</v>
      </c>
      <c r="H69" s="65"/>
      <c r="I69" s="65"/>
      <c r="J69" s="65"/>
      <c r="K69" s="65"/>
    </row>
    <row r="70" spans="1:91" x14ac:dyDescent="0.35">
      <c r="A70" t="s">
        <v>71</v>
      </c>
      <c r="B70" s="31">
        <v>0</v>
      </c>
      <c r="C70" s="31">
        <f>B70/'Cost Budgets'!$B$3</f>
        <v>0</v>
      </c>
      <c r="D70" s="65"/>
      <c r="E70" s="65"/>
      <c r="F70" s="65"/>
      <c r="G70" s="65"/>
      <c r="H70" s="65"/>
      <c r="I70" s="65"/>
      <c r="J70" s="65"/>
      <c r="K70" s="65"/>
    </row>
    <row r="71" spans="1:91" x14ac:dyDescent="0.35">
      <c r="A71" t="s">
        <v>74</v>
      </c>
      <c r="B71" s="31">
        <f>'Chemical costs'!H14</f>
        <v>0</v>
      </c>
      <c r="C71" s="31">
        <f>B71/'Cost Budgets'!$B$3</f>
        <v>0</v>
      </c>
      <c r="D71" s="65"/>
      <c r="E71" s="65"/>
      <c r="F71" s="65"/>
      <c r="G71" s="65"/>
      <c r="H71" s="65"/>
      <c r="I71" s="65"/>
      <c r="J71" s="65"/>
      <c r="K71" s="65"/>
    </row>
    <row r="72" spans="1:91" x14ac:dyDescent="0.35">
      <c r="A72" t="s">
        <v>75</v>
      </c>
      <c r="B72" s="31">
        <f>'Chemical costs'!H15</f>
        <v>55.88</v>
      </c>
      <c r="C72" s="31">
        <f>B72/'Cost Budgets'!$B$3</f>
        <v>1.1545454545454545</v>
      </c>
      <c r="D72" s="65"/>
      <c r="E72" s="65"/>
      <c r="F72" s="65"/>
      <c r="G72" s="65"/>
      <c r="H72" s="65"/>
      <c r="I72" s="65"/>
      <c r="J72" s="65"/>
      <c r="K72" s="65"/>
    </row>
    <row r="73" spans="1:91" x14ac:dyDescent="0.35">
      <c r="A73" s="6" t="s">
        <v>90</v>
      </c>
      <c r="B73" s="41">
        <v>0</v>
      </c>
      <c r="C73" s="41">
        <v>0</v>
      </c>
      <c r="D73" s="65"/>
      <c r="E73" s="65"/>
      <c r="F73" s="65"/>
      <c r="G73" s="65"/>
      <c r="H73" s="65"/>
      <c r="I73" s="65"/>
      <c r="J73" s="65"/>
      <c r="K73" s="65"/>
    </row>
    <row r="75" spans="1:91" x14ac:dyDescent="0.35">
      <c r="A75" s="5" t="s">
        <v>28</v>
      </c>
      <c r="B75" t="s">
        <v>31</v>
      </c>
      <c r="C75" t="s">
        <v>30</v>
      </c>
      <c r="D75" s="189" t="s">
        <v>32</v>
      </c>
      <c r="E75" s="189"/>
      <c r="F75" s="189"/>
      <c r="G75" s="189"/>
      <c r="H75" s="189"/>
      <c r="I75" s="189"/>
      <c r="J75" s="189"/>
      <c r="K75" s="189"/>
    </row>
    <row r="76" spans="1:91" x14ac:dyDescent="0.35">
      <c r="A76" t="s">
        <v>54</v>
      </c>
      <c r="B76" s="41">
        <v>349.44</v>
      </c>
      <c r="C76" s="31">
        <f>B76/'Cost Budgets'!$B$3</f>
        <v>7.2198347107438021</v>
      </c>
      <c r="D76" s="186" t="s">
        <v>163</v>
      </c>
      <c r="E76" s="186"/>
      <c r="F76" s="186"/>
      <c r="G76" s="100">
        <v>3</v>
      </c>
      <c r="H76" s="193" t="s">
        <v>158</v>
      </c>
      <c r="I76" s="194"/>
      <c r="J76" s="100">
        <v>15</v>
      </c>
      <c r="K76" s="65"/>
      <c r="BA76">
        <f>G77</f>
        <v>2</v>
      </c>
      <c r="BB76">
        <f>G77+G76</f>
        <v>5</v>
      </c>
      <c r="BC76">
        <f>IF(AND((BB76+$G$76)&lt;$J$76,BB76&gt;0),BB76+$G$76,0)</f>
        <v>8</v>
      </c>
      <c r="BD76">
        <f t="shared" ref="BD76:CM76" si="5">IF(AND((BC76+$G$76)&lt;$J$76,BC76&gt;0),BC76+$G$76,0)</f>
        <v>11</v>
      </c>
      <c r="BE76">
        <f t="shared" si="5"/>
        <v>14</v>
      </c>
      <c r="BF76">
        <f t="shared" si="5"/>
        <v>0</v>
      </c>
      <c r="BG76">
        <f t="shared" si="5"/>
        <v>0</v>
      </c>
      <c r="BH76">
        <f t="shared" si="5"/>
        <v>0</v>
      </c>
      <c r="BI76">
        <f t="shared" si="5"/>
        <v>0</v>
      </c>
      <c r="BJ76">
        <f t="shared" si="5"/>
        <v>0</v>
      </c>
      <c r="BK76">
        <f t="shared" si="5"/>
        <v>0</v>
      </c>
      <c r="BL76">
        <f t="shared" si="5"/>
        <v>0</v>
      </c>
      <c r="BM76">
        <f t="shared" si="5"/>
        <v>0</v>
      </c>
      <c r="BN76">
        <f t="shared" si="5"/>
        <v>0</v>
      </c>
      <c r="BO76">
        <f t="shared" si="5"/>
        <v>0</v>
      </c>
      <c r="BP76">
        <f t="shared" si="5"/>
        <v>0</v>
      </c>
      <c r="BQ76">
        <f t="shared" si="5"/>
        <v>0</v>
      </c>
      <c r="BR76">
        <f t="shared" si="5"/>
        <v>0</v>
      </c>
      <c r="BS76">
        <f t="shared" si="5"/>
        <v>0</v>
      </c>
      <c r="BT76">
        <f t="shared" si="5"/>
        <v>0</v>
      </c>
      <c r="BU76">
        <f t="shared" si="5"/>
        <v>0</v>
      </c>
      <c r="BV76">
        <f t="shared" si="5"/>
        <v>0</v>
      </c>
      <c r="BW76">
        <f t="shared" si="5"/>
        <v>0</v>
      </c>
      <c r="BX76">
        <f t="shared" si="5"/>
        <v>0</v>
      </c>
      <c r="BY76">
        <f t="shared" si="5"/>
        <v>0</v>
      </c>
      <c r="BZ76">
        <f t="shared" si="5"/>
        <v>0</v>
      </c>
      <c r="CA76">
        <f t="shared" si="5"/>
        <v>0</v>
      </c>
      <c r="CB76">
        <f t="shared" si="5"/>
        <v>0</v>
      </c>
      <c r="CC76">
        <f t="shared" si="5"/>
        <v>0</v>
      </c>
      <c r="CD76">
        <f t="shared" si="5"/>
        <v>0</v>
      </c>
      <c r="CE76">
        <f t="shared" si="5"/>
        <v>0</v>
      </c>
      <c r="CF76">
        <f t="shared" si="5"/>
        <v>0</v>
      </c>
      <c r="CG76">
        <f t="shared" si="5"/>
        <v>0</v>
      </c>
      <c r="CH76">
        <f t="shared" si="5"/>
        <v>0</v>
      </c>
      <c r="CI76">
        <f t="shared" si="5"/>
        <v>0</v>
      </c>
      <c r="CJ76">
        <f t="shared" si="5"/>
        <v>0</v>
      </c>
      <c r="CK76">
        <f t="shared" si="5"/>
        <v>0</v>
      </c>
      <c r="CL76">
        <f t="shared" si="5"/>
        <v>0</v>
      </c>
      <c r="CM76">
        <f t="shared" si="5"/>
        <v>0</v>
      </c>
    </row>
    <row r="77" spans="1:91" x14ac:dyDescent="0.35">
      <c r="A77" t="s">
        <v>71</v>
      </c>
      <c r="B77" s="38">
        <v>0</v>
      </c>
      <c r="C77" s="38">
        <v>0</v>
      </c>
      <c r="D77" s="65"/>
      <c r="E77" s="186" t="s">
        <v>166</v>
      </c>
      <c r="F77" s="186"/>
      <c r="G77" s="100">
        <v>2</v>
      </c>
      <c r="H77" s="65"/>
      <c r="I77" s="65"/>
      <c r="J77" s="65"/>
      <c r="K77" s="65"/>
    </row>
    <row r="78" spans="1:91" x14ac:dyDescent="0.35">
      <c r="A78" t="s">
        <v>56</v>
      </c>
      <c r="B78" s="31">
        <f>C78*'Cost Budgets'!$B$3</f>
        <v>4.84</v>
      </c>
      <c r="C78" s="41">
        <v>0.1</v>
      </c>
      <c r="D78" s="65"/>
      <c r="E78" s="65"/>
      <c r="F78" s="65"/>
      <c r="G78" s="65"/>
      <c r="H78" s="65"/>
      <c r="I78" s="65"/>
      <c r="J78" s="65"/>
      <c r="K78" s="65"/>
    </row>
    <row r="79" spans="1:91" x14ac:dyDescent="0.35">
      <c r="A79" t="s">
        <v>53</v>
      </c>
      <c r="B79" s="41">
        <v>47.5</v>
      </c>
      <c r="C79" s="31">
        <f>B79/'Cost Budgets'!$B$3</f>
        <v>0.98140495867768596</v>
      </c>
      <c r="D79" s="65"/>
      <c r="E79" s="65"/>
      <c r="F79" s="65"/>
      <c r="G79" s="65"/>
      <c r="H79" s="65"/>
      <c r="I79" s="65"/>
      <c r="J79" s="65"/>
      <c r="K79" s="65"/>
    </row>
    <row r="80" spans="1:91" x14ac:dyDescent="0.35">
      <c r="A80" t="s">
        <v>55</v>
      </c>
      <c r="B80" s="31">
        <f>C80*'Cost Budgets'!$B$3</f>
        <v>2.1779999999999999</v>
      </c>
      <c r="C80" s="41">
        <v>4.4999999999999998E-2</v>
      </c>
      <c r="D80" s="65"/>
      <c r="E80" s="65"/>
      <c r="F80" s="65"/>
      <c r="G80" s="65"/>
      <c r="H80" s="65"/>
      <c r="I80" s="65"/>
      <c r="J80" s="65"/>
      <c r="K80" s="65"/>
    </row>
    <row r="81" spans="1:90" x14ac:dyDescent="0.35">
      <c r="A81" t="s">
        <v>102</v>
      </c>
      <c r="B81" s="31">
        <f>C81*'Cost Budgets'!B3</f>
        <v>48.4</v>
      </c>
      <c r="C81" s="41">
        <v>1</v>
      </c>
      <c r="D81" s="65"/>
      <c r="E81" s="65"/>
      <c r="F81" s="65"/>
      <c r="G81" s="65"/>
      <c r="H81" s="65"/>
      <c r="I81" s="65"/>
      <c r="J81" s="65"/>
      <c r="K81" s="65"/>
    </row>
    <row r="82" spans="1:90" x14ac:dyDescent="0.35">
      <c r="A82" s="6" t="s">
        <v>90</v>
      </c>
      <c r="B82" s="41">
        <v>68.36</v>
      </c>
      <c r="C82" s="41">
        <f>B82/'Cost Budgets'!B3</f>
        <v>1.412396694214876</v>
      </c>
      <c r="D82" s="65"/>
      <c r="E82" s="65"/>
      <c r="F82" s="65"/>
      <c r="G82" s="65"/>
      <c r="H82" s="65"/>
      <c r="I82" s="65"/>
      <c r="J82" s="65"/>
      <c r="K82" s="65"/>
    </row>
    <row r="83" spans="1:90" x14ac:dyDescent="0.35">
      <c r="B83" s="30"/>
      <c r="C83" s="30"/>
      <c r="D83" s="65"/>
      <c r="E83" s="65"/>
      <c r="F83" s="65"/>
      <c r="G83" s="65"/>
      <c r="H83" s="65"/>
      <c r="I83" s="65"/>
      <c r="J83" s="65"/>
      <c r="K83" s="65"/>
    </row>
    <row r="84" spans="1:90" x14ac:dyDescent="0.35">
      <c r="A84" s="5" t="s">
        <v>103</v>
      </c>
      <c r="B84" t="s">
        <v>31</v>
      </c>
      <c r="C84" t="s">
        <v>30</v>
      </c>
      <c r="D84" s="189" t="s">
        <v>32</v>
      </c>
      <c r="E84" s="189"/>
      <c r="F84" s="189"/>
      <c r="G84" s="189"/>
      <c r="H84" s="189"/>
      <c r="I84" s="189"/>
      <c r="J84" s="189"/>
      <c r="K84" s="189"/>
    </row>
    <row r="85" spans="1:90" x14ac:dyDescent="0.35">
      <c r="A85" t="s">
        <v>104</v>
      </c>
      <c r="B85" s="31">
        <v>0</v>
      </c>
      <c r="C85" s="31">
        <v>0</v>
      </c>
      <c r="D85" s="65"/>
      <c r="E85" s="65"/>
      <c r="F85" s="65"/>
      <c r="G85" s="65"/>
      <c r="H85" s="65"/>
      <c r="I85" s="65"/>
      <c r="J85" s="65"/>
      <c r="K85" s="65"/>
    </row>
    <row r="86" spans="1:90" x14ac:dyDescent="0.35">
      <c r="A86" t="s">
        <v>105</v>
      </c>
      <c r="B86" s="31">
        <f>C86*'Cost Budgets'!$B$3</f>
        <v>871.19999999999993</v>
      </c>
      <c r="C86" s="41">
        <v>18</v>
      </c>
      <c r="D86" s="65"/>
      <c r="E86" s="65"/>
      <c r="F86" s="65"/>
      <c r="G86" s="65"/>
      <c r="H86" s="65"/>
      <c r="I86" s="65"/>
      <c r="J86" s="65"/>
      <c r="K86" s="65"/>
    </row>
    <row r="87" spans="1:90" x14ac:dyDescent="0.35">
      <c r="A87" t="s">
        <v>198</v>
      </c>
      <c r="B87" s="31">
        <f>C87*'Cost Budgets'!$B$3</f>
        <v>871.19999999999993</v>
      </c>
      <c r="C87" s="41">
        <v>18</v>
      </c>
      <c r="D87" s="186" t="s">
        <v>164</v>
      </c>
      <c r="E87" s="186"/>
      <c r="F87" s="186"/>
      <c r="G87" s="100">
        <v>1</v>
      </c>
      <c r="H87" s="193" t="s">
        <v>158</v>
      </c>
      <c r="I87" s="194"/>
      <c r="J87" s="100">
        <v>5</v>
      </c>
      <c r="K87" s="65"/>
      <c r="BA87">
        <f>1+G87</f>
        <v>2</v>
      </c>
      <c r="BB87">
        <f>IF(AND((BA87+$G$87)&lt;$J$87,BA87&gt;0),BA87+$G$87,0)</f>
        <v>3</v>
      </c>
      <c r="BC87">
        <f t="shared" ref="BC87:CL87" si="6">IF(AND((BB87+$G$87)&lt;$J$87,BB87&gt;0),BB87+$G$87,0)</f>
        <v>4</v>
      </c>
      <c r="BD87">
        <f t="shared" si="6"/>
        <v>0</v>
      </c>
      <c r="BE87">
        <f t="shared" si="6"/>
        <v>0</v>
      </c>
      <c r="BF87">
        <f t="shared" si="6"/>
        <v>0</v>
      </c>
      <c r="BG87">
        <f t="shared" si="6"/>
        <v>0</v>
      </c>
      <c r="BH87">
        <f t="shared" si="6"/>
        <v>0</v>
      </c>
      <c r="BI87">
        <f t="shared" si="6"/>
        <v>0</v>
      </c>
      <c r="BJ87">
        <f t="shared" si="6"/>
        <v>0</v>
      </c>
      <c r="BK87">
        <f t="shared" si="6"/>
        <v>0</v>
      </c>
      <c r="BL87">
        <f t="shared" si="6"/>
        <v>0</v>
      </c>
      <c r="BM87">
        <f t="shared" si="6"/>
        <v>0</v>
      </c>
      <c r="BN87">
        <f t="shared" si="6"/>
        <v>0</v>
      </c>
      <c r="BO87">
        <f t="shared" si="6"/>
        <v>0</v>
      </c>
      <c r="BP87">
        <f t="shared" si="6"/>
        <v>0</v>
      </c>
      <c r="BQ87">
        <f t="shared" si="6"/>
        <v>0</v>
      </c>
      <c r="BR87">
        <f t="shared" si="6"/>
        <v>0</v>
      </c>
      <c r="BS87">
        <f t="shared" si="6"/>
        <v>0</v>
      </c>
      <c r="BT87">
        <f t="shared" si="6"/>
        <v>0</v>
      </c>
      <c r="BU87">
        <f t="shared" si="6"/>
        <v>0</v>
      </c>
      <c r="BV87">
        <f t="shared" si="6"/>
        <v>0</v>
      </c>
      <c r="BW87">
        <f t="shared" si="6"/>
        <v>0</v>
      </c>
      <c r="BX87">
        <f t="shared" si="6"/>
        <v>0</v>
      </c>
      <c r="BY87">
        <f t="shared" si="6"/>
        <v>0</v>
      </c>
      <c r="BZ87">
        <f t="shared" si="6"/>
        <v>0</v>
      </c>
      <c r="CA87">
        <f t="shared" si="6"/>
        <v>0</v>
      </c>
      <c r="CB87">
        <f t="shared" si="6"/>
        <v>0</v>
      </c>
      <c r="CC87">
        <f t="shared" si="6"/>
        <v>0</v>
      </c>
      <c r="CD87">
        <f t="shared" si="6"/>
        <v>0</v>
      </c>
      <c r="CE87">
        <f t="shared" si="6"/>
        <v>0</v>
      </c>
      <c r="CF87">
        <f t="shared" si="6"/>
        <v>0</v>
      </c>
      <c r="CG87">
        <f t="shared" si="6"/>
        <v>0</v>
      </c>
      <c r="CH87">
        <f t="shared" si="6"/>
        <v>0</v>
      </c>
      <c r="CI87">
        <f t="shared" si="6"/>
        <v>0</v>
      </c>
      <c r="CJ87">
        <f t="shared" si="6"/>
        <v>0</v>
      </c>
      <c r="CK87">
        <f t="shared" si="6"/>
        <v>0</v>
      </c>
      <c r="CL87">
        <f t="shared" si="6"/>
        <v>0</v>
      </c>
    </row>
    <row r="88" spans="1:90" x14ac:dyDescent="0.35">
      <c r="A88" t="s">
        <v>106</v>
      </c>
      <c r="B88" s="31">
        <f>C88*'Cost Budgets'!$B$3</f>
        <v>484</v>
      </c>
      <c r="C88" s="41">
        <v>10</v>
      </c>
      <c r="D88" s="65"/>
      <c r="E88" s="65"/>
      <c r="F88" s="65" t="s">
        <v>1</v>
      </c>
      <c r="G88" s="65"/>
      <c r="H88" s="65"/>
      <c r="I88" s="65"/>
      <c r="J88" s="65"/>
      <c r="K88" s="65"/>
    </row>
    <row r="89" spans="1:90" x14ac:dyDescent="0.35">
      <c r="A89" t="s">
        <v>107</v>
      </c>
      <c r="B89" s="31">
        <f>C89*'Cost Budgets'!$B$3</f>
        <v>484</v>
      </c>
      <c r="C89" s="41">
        <v>10</v>
      </c>
      <c r="D89" s="186" t="s">
        <v>164</v>
      </c>
      <c r="E89" s="186"/>
      <c r="F89" s="186"/>
      <c r="G89" s="100">
        <v>1</v>
      </c>
      <c r="H89" s="193" t="s">
        <v>158</v>
      </c>
      <c r="I89" s="194"/>
      <c r="J89" s="100">
        <v>5</v>
      </c>
      <c r="K89" s="65"/>
      <c r="BA89">
        <f>1+G89</f>
        <v>2</v>
      </c>
      <c r="BB89">
        <f>IF(AND((BA89+$G$89)&lt;$J$89,BA89&gt;0),BA89+$G$89,0)</f>
        <v>3</v>
      </c>
      <c r="BC89">
        <f t="shared" ref="BC89:CL89" si="7">IF(AND((BB89+$G$89)&lt;$J$89,BB89&gt;0),BB89+$G$89,0)</f>
        <v>4</v>
      </c>
      <c r="BD89">
        <f t="shared" si="7"/>
        <v>0</v>
      </c>
      <c r="BE89">
        <f t="shared" si="7"/>
        <v>0</v>
      </c>
      <c r="BF89">
        <f t="shared" si="7"/>
        <v>0</v>
      </c>
      <c r="BG89">
        <f t="shared" si="7"/>
        <v>0</v>
      </c>
      <c r="BH89">
        <f t="shared" si="7"/>
        <v>0</v>
      </c>
      <c r="BI89">
        <f t="shared" si="7"/>
        <v>0</v>
      </c>
      <c r="BJ89">
        <f t="shared" si="7"/>
        <v>0</v>
      </c>
      <c r="BK89">
        <f t="shared" si="7"/>
        <v>0</v>
      </c>
      <c r="BL89">
        <f t="shared" si="7"/>
        <v>0</v>
      </c>
      <c r="BM89">
        <f t="shared" si="7"/>
        <v>0</v>
      </c>
      <c r="BN89">
        <f t="shared" si="7"/>
        <v>0</v>
      </c>
      <c r="BO89">
        <f t="shared" si="7"/>
        <v>0</v>
      </c>
      <c r="BP89">
        <f t="shared" si="7"/>
        <v>0</v>
      </c>
      <c r="BQ89">
        <f t="shared" si="7"/>
        <v>0</v>
      </c>
      <c r="BR89">
        <f t="shared" si="7"/>
        <v>0</v>
      </c>
      <c r="BS89">
        <f t="shared" si="7"/>
        <v>0</v>
      </c>
      <c r="BT89">
        <f t="shared" si="7"/>
        <v>0</v>
      </c>
      <c r="BU89">
        <f t="shared" si="7"/>
        <v>0</v>
      </c>
      <c r="BV89">
        <f t="shared" si="7"/>
        <v>0</v>
      </c>
      <c r="BW89">
        <f t="shared" si="7"/>
        <v>0</v>
      </c>
      <c r="BX89">
        <f t="shared" si="7"/>
        <v>0</v>
      </c>
      <c r="BY89">
        <f t="shared" si="7"/>
        <v>0</v>
      </c>
      <c r="BZ89">
        <f t="shared" si="7"/>
        <v>0</v>
      </c>
      <c r="CA89">
        <f t="shared" si="7"/>
        <v>0</v>
      </c>
      <c r="CB89">
        <f t="shared" si="7"/>
        <v>0</v>
      </c>
      <c r="CC89">
        <f t="shared" si="7"/>
        <v>0</v>
      </c>
      <c r="CD89">
        <f t="shared" si="7"/>
        <v>0</v>
      </c>
      <c r="CE89">
        <f t="shared" si="7"/>
        <v>0</v>
      </c>
      <c r="CF89">
        <f t="shared" si="7"/>
        <v>0</v>
      </c>
      <c r="CG89">
        <f t="shared" si="7"/>
        <v>0</v>
      </c>
      <c r="CH89">
        <f t="shared" si="7"/>
        <v>0</v>
      </c>
      <c r="CI89">
        <f t="shared" si="7"/>
        <v>0</v>
      </c>
      <c r="CJ89">
        <f t="shared" si="7"/>
        <v>0</v>
      </c>
      <c r="CK89">
        <f t="shared" si="7"/>
        <v>0</v>
      </c>
      <c r="CL89">
        <f t="shared" si="7"/>
        <v>0</v>
      </c>
    </row>
    <row r="90" spans="1:90" x14ac:dyDescent="0.35">
      <c r="D90" s="65"/>
      <c r="E90" s="106"/>
      <c r="F90" s="106"/>
      <c r="G90" s="106"/>
      <c r="H90" s="106"/>
      <c r="I90" s="106"/>
      <c r="J90" s="106"/>
      <c r="K90" s="106"/>
      <c r="L90" s="39"/>
    </row>
    <row r="91" spans="1:90" x14ac:dyDescent="0.35">
      <c r="A91" s="5" t="s">
        <v>114</v>
      </c>
      <c r="B91" t="s">
        <v>31</v>
      </c>
      <c r="C91" t="s">
        <v>30</v>
      </c>
    </row>
    <row r="92" spans="1:90" x14ac:dyDescent="0.35">
      <c r="A92" t="s">
        <v>115</v>
      </c>
      <c r="B92" s="41">
        <v>75</v>
      </c>
      <c r="C92" s="31">
        <f>B92/'Cost Budgets'!$B$3</f>
        <v>1.5495867768595042</v>
      </c>
      <c r="D92" t="s">
        <v>118</v>
      </c>
      <c r="E92" t="s">
        <v>119</v>
      </c>
      <c r="F92" t="s">
        <v>120</v>
      </c>
      <c r="G92" t="s">
        <v>121</v>
      </c>
    </row>
    <row r="93" spans="1:90" x14ac:dyDescent="0.35">
      <c r="A93" t="s">
        <v>116</v>
      </c>
      <c r="B93" s="31">
        <f>IF(K94=0,(-1*G93)/'Financial Analysis'!$D$86,(-1*G93)/K94)</f>
        <v>2058.6492131438727</v>
      </c>
      <c r="C93" s="31">
        <f>B93/'Cost Budgets'!$B$3</f>
        <v>42.534074651732908</v>
      </c>
      <c r="D93" s="41">
        <v>150000</v>
      </c>
      <c r="E93" s="87">
        <v>15</v>
      </c>
      <c r="F93" s="109">
        <v>7.0000000000000007E-2</v>
      </c>
      <c r="G93" s="42">
        <f>PMT(F93,E93,D93)</f>
        <v>-16469.193705150981</v>
      </c>
      <c r="M93" s="186" t="s">
        <v>178</v>
      </c>
      <c r="N93" s="186"/>
      <c r="O93" s="186"/>
      <c r="P93" s="113">
        <f ca="1">LOOKUP(0,'Financial Analysis'!D22:BK22,'Financial Analysis'!D1:BK1)+1</f>
        <v>4</v>
      </c>
      <c r="Q93" s="193" t="s">
        <v>179</v>
      </c>
      <c r="R93" s="194"/>
      <c r="S93" s="114">
        <f ca="1">P93+E93</f>
        <v>19</v>
      </c>
      <c r="BA93" s="127">
        <f ca="1">P93</f>
        <v>4</v>
      </c>
      <c r="BB93">
        <f ca="1">IF(BA93&gt;$S$93,0,BA93+1)</f>
        <v>5</v>
      </c>
      <c r="BC93">
        <f ca="1">IF(OR(BB93&gt;$S$93,BB93=0),0,BB93+1)</f>
        <v>6</v>
      </c>
      <c r="BD93">
        <f t="shared" ref="BD93:BE93" ca="1" si="8">IF(OR(BC93&gt;$S$93,BC93=0),0,BC93+1)</f>
        <v>7</v>
      </c>
      <c r="BE93">
        <f t="shared" ca="1" si="8"/>
        <v>8</v>
      </c>
      <c r="BF93">
        <f t="shared" ref="BF93:BW93" ca="1" si="9">IF(OR(BE93&gt;$S$93,BE93=0),0,BE93+1)</f>
        <v>9</v>
      </c>
      <c r="BG93">
        <f t="shared" ca="1" si="9"/>
        <v>10</v>
      </c>
      <c r="BH93">
        <f t="shared" ca="1" si="9"/>
        <v>11</v>
      </c>
      <c r="BI93">
        <f t="shared" ca="1" si="9"/>
        <v>12</v>
      </c>
      <c r="BJ93">
        <f t="shared" ca="1" si="9"/>
        <v>13</v>
      </c>
      <c r="BK93">
        <f t="shared" ca="1" si="9"/>
        <v>14</v>
      </c>
      <c r="BL93">
        <f t="shared" ca="1" si="9"/>
        <v>15</v>
      </c>
      <c r="BM93">
        <f t="shared" ca="1" si="9"/>
        <v>16</v>
      </c>
      <c r="BN93">
        <f t="shared" ca="1" si="9"/>
        <v>17</v>
      </c>
      <c r="BO93">
        <f t="shared" ca="1" si="9"/>
        <v>18</v>
      </c>
      <c r="BP93">
        <f t="shared" ca="1" si="9"/>
        <v>19</v>
      </c>
      <c r="BQ93">
        <f t="shared" ca="1" si="9"/>
        <v>20</v>
      </c>
      <c r="BR93">
        <f t="shared" ca="1" si="9"/>
        <v>0</v>
      </c>
      <c r="BS93">
        <f t="shared" ca="1" si="9"/>
        <v>0</v>
      </c>
      <c r="BT93">
        <f t="shared" ca="1" si="9"/>
        <v>0</v>
      </c>
      <c r="BU93">
        <f t="shared" ca="1" si="9"/>
        <v>0</v>
      </c>
      <c r="BV93">
        <f t="shared" ca="1" si="9"/>
        <v>0</v>
      </c>
      <c r="BW93">
        <f t="shared" ca="1" si="9"/>
        <v>0</v>
      </c>
    </row>
    <row r="94" spans="1:90" x14ac:dyDescent="0.35">
      <c r="A94" t="s">
        <v>199</v>
      </c>
      <c r="B94" s="31">
        <f>IF(K94=0,(-1*G94)/'Financial Analysis'!$D$86,(-1*G94)/K94)</f>
        <v>142.74323542434328</v>
      </c>
      <c r="C94" s="31">
        <f>B94/'Cost Budgets'!$B$3</f>
        <v>2.9492404013294067</v>
      </c>
      <c r="D94" s="41">
        <v>4500</v>
      </c>
      <c r="E94" s="87">
        <v>5</v>
      </c>
      <c r="F94" s="109">
        <v>8.5000000000000006E-2</v>
      </c>
      <c r="G94" s="42">
        <f>PMT(F94,E94,D94)</f>
        <v>-1141.9458833947463</v>
      </c>
      <c r="I94" s="189" t="s">
        <v>177</v>
      </c>
      <c r="J94" s="189"/>
      <c r="K94" s="150">
        <f>'Management Input'!R10</f>
        <v>8</v>
      </c>
      <c r="M94" s="186" t="s">
        <v>178</v>
      </c>
      <c r="N94" s="186"/>
      <c r="O94" s="186"/>
      <c r="P94" s="114">
        <f ca="1">LOOKUP(1,'Financial Analysis'!D58:BK58,'Financial Analysis'!D1:BK1)+1</f>
        <v>4</v>
      </c>
      <c r="Q94" s="193" t="s">
        <v>179</v>
      </c>
      <c r="R94" s="194"/>
      <c r="S94" s="115">
        <f ca="1">P94+E94</f>
        <v>9</v>
      </c>
      <c r="BA94" s="127">
        <f ca="1">P94</f>
        <v>4</v>
      </c>
      <c r="BB94">
        <f ca="1">IF(BA94&gt;$S$93,0,BA94+1)</f>
        <v>5</v>
      </c>
      <c r="BC94">
        <f ca="1">IF(OR(BB94&gt;$S$93,BB94=0),0,BB94+1)</f>
        <v>6</v>
      </c>
      <c r="BD94">
        <f t="shared" ref="BD94:BW94" ca="1" si="10">IF(OR(BC94&gt;$S$93,BC94=0),0,BC94+1)</f>
        <v>7</v>
      </c>
      <c r="BE94">
        <f t="shared" ca="1" si="10"/>
        <v>8</v>
      </c>
      <c r="BF94">
        <f t="shared" ca="1" si="10"/>
        <v>9</v>
      </c>
      <c r="BG94">
        <f t="shared" ca="1" si="10"/>
        <v>10</v>
      </c>
      <c r="BH94">
        <f t="shared" ca="1" si="10"/>
        <v>11</v>
      </c>
      <c r="BI94">
        <f t="shared" ca="1" si="10"/>
        <v>12</v>
      </c>
      <c r="BJ94">
        <f t="shared" ca="1" si="10"/>
        <v>13</v>
      </c>
      <c r="BK94">
        <f t="shared" ca="1" si="10"/>
        <v>14</v>
      </c>
      <c r="BL94">
        <f t="shared" ca="1" si="10"/>
        <v>15</v>
      </c>
      <c r="BM94">
        <f t="shared" ca="1" si="10"/>
        <v>16</v>
      </c>
      <c r="BN94">
        <f t="shared" ca="1" si="10"/>
        <v>17</v>
      </c>
      <c r="BO94">
        <f t="shared" ca="1" si="10"/>
        <v>18</v>
      </c>
      <c r="BP94">
        <f t="shared" ca="1" si="10"/>
        <v>19</v>
      </c>
      <c r="BQ94">
        <f t="shared" ca="1" si="10"/>
        <v>20</v>
      </c>
      <c r="BR94">
        <f t="shared" ca="1" si="10"/>
        <v>0</v>
      </c>
      <c r="BS94">
        <f t="shared" ca="1" si="10"/>
        <v>0</v>
      </c>
      <c r="BT94">
        <f t="shared" ca="1" si="10"/>
        <v>0</v>
      </c>
      <c r="BU94">
        <f t="shared" ca="1" si="10"/>
        <v>0</v>
      </c>
      <c r="BV94">
        <f t="shared" ca="1" si="10"/>
        <v>0</v>
      </c>
      <c r="BW94">
        <f t="shared" ca="1" si="10"/>
        <v>0</v>
      </c>
    </row>
    <row r="95" spans="1:90" x14ac:dyDescent="0.35">
      <c r="A95" t="s">
        <v>117</v>
      </c>
      <c r="B95" s="41">
        <v>75</v>
      </c>
      <c r="C95" s="31">
        <f>B95/'Cost Budgets'!$B$3</f>
        <v>1.5495867768595042</v>
      </c>
      <c r="BA95" s="127"/>
    </row>
    <row r="96" spans="1:90" x14ac:dyDescent="0.35">
      <c r="A96" t="s">
        <v>90</v>
      </c>
      <c r="B96" s="41">
        <v>0</v>
      </c>
      <c r="C96" s="41">
        <v>0</v>
      </c>
    </row>
    <row r="98" spans="1:5" ht="29" x14ac:dyDescent="0.35">
      <c r="A98" s="5" t="s">
        <v>136</v>
      </c>
      <c r="B98" t="s">
        <v>195</v>
      </c>
      <c r="C98" t="s">
        <v>196</v>
      </c>
      <c r="D98" s="137" t="s">
        <v>204</v>
      </c>
    </row>
    <row r="99" spans="1:5" x14ac:dyDescent="0.35">
      <c r="A99" t="s">
        <v>192</v>
      </c>
      <c r="B99" s="135">
        <f t="shared" ref="B99" si="11">C99/5</f>
        <v>0.41600000000000004</v>
      </c>
      <c r="C99" s="135">
        <f>C100+0.33</f>
        <v>2.08</v>
      </c>
      <c r="D99" s="139">
        <f>'Growth models'!F5</f>
        <v>18.3</v>
      </c>
    </row>
    <row r="100" spans="1:5" x14ac:dyDescent="0.35">
      <c r="A100" t="s">
        <v>193</v>
      </c>
      <c r="B100" s="135">
        <f>C100/5</f>
        <v>0.35</v>
      </c>
      <c r="C100" s="135">
        <f>C102+0.25</f>
        <v>1.75</v>
      </c>
      <c r="D100" s="135">
        <f>'Growth models'!F6</f>
        <v>8.7971999999999984</v>
      </c>
    </row>
    <row r="101" spans="1:5" x14ac:dyDescent="0.35">
      <c r="A101" t="s">
        <v>191</v>
      </c>
      <c r="B101" s="135">
        <f>C101/5</f>
        <v>0.5</v>
      </c>
      <c r="C101" s="135">
        <f>C99+0.42</f>
        <v>2.5</v>
      </c>
      <c r="D101" s="139">
        <f>'Growth models'!F4</f>
        <v>23.741999999999997</v>
      </c>
    </row>
    <row r="102" spans="1:5" x14ac:dyDescent="0.35">
      <c r="A102" t="s">
        <v>194</v>
      </c>
      <c r="B102" s="135">
        <f>C102/5</f>
        <v>0.3</v>
      </c>
      <c r="C102" s="134">
        <v>1.5</v>
      </c>
      <c r="D102" s="139">
        <f>'Growth models'!F7</f>
        <v>3.3393999999999995</v>
      </c>
    </row>
    <row r="104" spans="1:5" ht="15" customHeight="1" x14ac:dyDescent="0.35"/>
    <row r="105" spans="1:5" ht="30" customHeight="1" x14ac:dyDescent="0.35">
      <c r="A105" s="5" t="s">
        <v>210</v>
      </c>
      <c r="B105" t="s">
        <v>216</v>
      </c>
      <c r="C105" t="s">
        <v>217</v>
      </c>
      <c r="E105" s="187" t="s">
        <v>218</v>
      </c>
    </row>
    <row r="106" spans="1:5" x14ac:dyDescent="0.35">
      <c r="A106" t="s">
        <v>211</v>
      </c>
      <c r="B106" s="41">
        <v>445.5</v>
      </c>
      <c r="C106" s="141">
        <f>B106/'Cost Budgets'!B91</f>
        <v>9.204545454545455</v>
      </c>
      <c r="E106" s="187"/>
    </row>
    <row r="107" spans="1:5" x14ac:dyDescent="0.35">
      <c r="A107" t="s">
        <v>213</v>
      </c>
      <c r="B107" s="143">
        <f>PV('Management Input'!$Q$6,60,-E107)</f>
        <v>283.93934287605168</v>
      </c>
      <c r="C107" s="141">
        <f>B107/'Cost Budgets'!B91</f>
        <v>5.866515348678754</v>
      </c>
      <c r="E107" s="76">
        <v>15</v>
      </c>
    </row>
    <row r="108" spans="1:5" x14ac:dyDescent="0.35">
      <c r="A108" t="s">
        <v>212</v>
      </c>
      <c r="B108" s="143">
        <f>PV('Management Input'!$Q$6,60,-E108)</f>
        <v>189.29289525070112</v>
      </c>
      <c r="C108" s="141">
        <f>B108/'Cost Budgets'!B91</f>
        <v>3.9110102324525027</v>
      </c>
      <c r="E108" s="142">
        <v>10</v>
      </c>
    </row>
    <row r="109" spans="1:5" x14ac:dyDescent="0.35">
      <c r="A109" t="s">
        <v>214</v>
      </c>
      <c r="B109" s="87">
        <v>0</v>
      </c>
      <c r="C109" s="141">
        <f>B109/'Cost Budgets'!B91</f>
        <v>0</v>
      </c>
    </row>
    <row r="110" spans="1:5" x14ac:dyDescent="0.35">
      <c r="A110" t="s">
        <v>215</v>
      </c>
      <c r="B110" s="87">
        <v>0</v>
      </c>
      <c r="C110" s="141">
        <f>B110/'Cost Budgets'!B95</f>
        <v>0</v>
      </c>
    </row>
  </sheetData>
  <sheetProtection sheet="1" objects="1" scenarios="1" selectLockedCells="1"/>
  <dataConsolidate function="varp"/>
  <mergeCells count="43">
    <mergeCell ref="E105:E106"/>
    <mergeCell ref="F25:H25"/>
    <mergeCell ref="D67:K67"/>
    <mergeCell ref="D27:K27"/>
    <mergeCell ref="D34:K34"/>
    <mergeCell ref="D40:K40"/>
    <mergeCell ref="E36:F36"/>
    <mergeCell ref="E48:F48"/>
    <mergeCell ref="E55:F55"/>
    <mergeCell ref="D35:F35"/>
    <mergeCell ref="D41:F41"/>
    <mergeCell ref="D53:K53"/>
    <mergeCell ref="H41:I41"/>
    <mergeCell ref="D47:F47"/>
    <mergeCell ref="H47:I47"/>
    <mergeCell ref="H35:I35"/>
    <mergeCell ref="D1:K1"/>
    <mergeCell ref="D7:K7"/>
    <mergeCell ref="D12:K12"/>
    <mergeCell ref="D19:K19"/>
    <mergeCell ref="D24:K24"/>
    <mergeCell ref="E9:F9"/>
    <mergeCell ref="D46:K46"/>
    <mergeCell ref="E42:F42"/>
    <mergeCell ref="I94:J94"/>
    <mergeCell ref="M93:O93"/>
    <mergeCell ref="Q93:R93"/>
    <mergeCell ref="M94:O94"/>
    <mergeCell ref="Q94:R94"/>
    <mergeCell ref="D89:F89"/>
    <mergeCell ref="H89:I89"/>
    <mergeCell ref="D54:F54"/>
    <mergeCell ref="H54:I54"/>
    <mergeCell ref="D68:F68"/>
    <mergeCell ref="H68:I68"/>
    <mergeCell ref="D76:F76"/>
    <mergeCell ref="H76:I76"/>
    <mergeCell ref="D84:K84"/>
    <mergeCell ref="E77:F77"/>
    <mergeCell ref="D87:F87"/>
    <mergeCell ref="H87:I87"/>
    <mergeCell ref="D75:K75"/>
    <mergeCell ref="E69:F69"/>
  </mergeCells>
  <pageMargins left="0.7" right="0.7" top="0.75" bottom="0.75" header="0.3" footer="0.3"/>
  <pageSetup paperSize="0"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V343"/>
  <sheetViews>
    <sheetView zoomScale="30" zoomScaleNormal="30" workbookViewId="0">
      <selection activeCell="U17" sqref="U17"/>
    </sheetView>
  </sheetViews>
  <sheetFormatPr defaultRowHeight="14.5" x14ac:dyDescent="0.35"/>
  <sheetData>
    <row r="1" spans="1:22" ht="23.25" customHeight="1" x14ac:dyDescent="0.5">
      <c r="A1" s="197" t="s">
        <v>184</v>
      </c>
      <c r="B1" s="197"/>
      <c r="C1" s="197"/>
      <c r="D1" s="197"/>
      <c r="E1" s="197"/>
      <c r="F1" s="197"/>
      <c r="G1" s="197"/>
      <c r="H1" s="197"/>
      <c r="I1" s="197"/>
      <c r="J1" s="197"/>
      <c r="K1" s="197"/>
      <c r="L1" s="197"/>
      <c r="M1" s="197"/>
      <c r="N1" s="197"/>
      <c r="O1" s="197"/>
      <c r="P1" s="14"/>
      <c r="Q1" s="14"/>
      <c r="R1" s="14"/>
      <c r="S1" s="14"/>
      <c r="T1" s="14"/>
      <c r="U1" s="14"/>
      <c r="V1" s="14"/>
    </row>
    <row r="2" spans="1:22" ht="15" customHeight="1" x14ac:dyDescent="0.35">
      <c r="A2" s="200" t="s">
        <v>224</v>
      </c>
      <c r="B2" s="200"/>
      <c r="C2" s="200"/>
      <c r="D2" s="200"/>
      <c r="E2" s="200"/>
      <c r="F2" s="200"/>
      <c r="G2" s="200"/>
      <c r="H2" s="200"/>
      <c r="I2" s="200"/>
      <c r="J2" s="200"/>
      <c r="K2" s="200"/>
      <c r="L2" s="200"/>
      <c r="M2" s="200"/>
      <c r="N2" s="200"/>
      <c r="O2" s="200"/>
      <c r="P2" s="14"/>
      <c r="Q2" s="14"/>
      <c r="R2" s="14"/>
      <c r="S2" s="14"/>
      <c r="T2" s="14"/>
      <c r="U2" s="14"/>
      <c r="V2" s="14"/>
    </row>
    <row r="3" spans="1:22" ht="23.25" customHeight="1" x14ac:dyDescent="0.35">
      <c r="A3" s="200"/>
      <c r="B3" s="200"/>
      <c r="C3" s="200"/>
      <c r="D3" s="200"/>
      <c r="E3" s="200"/>
      <c r="F3" s="200"/>
      <c r="G3" s="200"/>
      <c r="H3" s="200"/>
      <c r="I3" s="200"/>
      <c r="J3" s="200"/>
      <c r="K3" s="200"/>
      <c r="L3" s="200"/>
      <c r="M3" s="200"/>
      <c r="N3" s="200"/>
      <c r="O3" s="200"/>
      <c r="P3" s="14"/>
      <c r="Q3" s="14"/>
      <c r="R3" s="14"/>
      <c r="S3" s="14"/>
      <c r="T3" s="14"/>
      <c r="U3" s="14"/>
      <c r="V3" s="14"/>
    </row>
    <row r="4" spans="1:22" x14ac:dyDescent="0.35">
      <c r="A4" s="14"/>
      <c r="B4" s="14"/>
      <c r="C4" s="14"/>
      <c r="D4" s="14"/>
      <c r="E4" s="14"/>
      <c r="F4" s="14"/>
      <c r="G4" s="14"/>
      <c r="H4" s="14"/>
      <c r="I4" s="14"/>
      <c r="J4" s="14"/>
      <c r="K4" s="14"/>
      <c r="L4" s="14"/>
      <c r="M4" s="14"/>
      <c r="N4" s="14"/>
      <c r="O4" s="14"/>
      <c r="P4" s="14"/>
      <c r="Q4" s="14"/>
      <c r="R4" s="14"/>
      <c r="S4" s="14"/>
      <c r="T4" s="14"/>
      <c r="U4" s="14"/>
      <c r="V4" s="14"/>
    </row>
    <row r="5" spans="1:22" ht="15" customHeight="1" x14ac:dyDescent="0.35">
      <c r="A5" s="206" t="s">
        <v>185</v>
      </c>
      <c r="B5" s="206"/>
      <c r="C5" s="206"/>
      <c r="D5" s="206"/>
      <c r="E5" s="206"/>
      <c r="F5" s="206"/>
      <c r="G5" s="206"/>
      <c r="H5" s="206"/>
      <c r="I5" s="206"/>
      <c r="J5" s="206"/>
      <c r="K5" s="206"/>
      <c r="L5" s="206"/>
      <c r="M5" s="206"/>
      <c r="N5" s="206"/>
      <c r="O5" s="206"/>
      <c r="P5" s="14"/>
      <c r="Q5" s="14"/>
      <c r="R5" s="14"/>
      <c r="S5" s="14"/>
      <c r="T5" s="14"/>
      <c r="U5" s="14"/>
      <c r="V5" s="14"/>
    </row>
    <row r="6" spans="1:22" x14ac:dyDescent="0.35">
      <c r="A6" s="206"/>
      <c r="B6" s="206"/>
      <c r="C6" s="206"/>
      <c r="D6" s="206"/>
      <c r="E6" s="206"/>
      <c r="F6" s="206"/>
      <c r="G6" s="206"/>
      <c r="H6" s="206"/>
      <c r="I6" s="206"/>
      <c r="J6" s="206"/>
      <c r="K6" s="206"/>
      <c r="L6" s="206"/>
      <c r="M6" s="206"/>
      <c r="N6" s="206"/>
      <c r="O6" s="206"/>
      <c r="P6" s="14"/>
      <c r="Q6" s="14"/>
      <c r="R6" s="14"/>
      <c r="S6" s="14"/>
      <c r="T6" s="14"/>
      <c r="U6" s="14"/>
      <c r="V6" s="14"/>
    </row>
    <row r="7" spans="1:22" x14ac:dyDescent="0.35">
      <c r="A7" s="206"/>
      <c r="B7" s="206"/>
      <c r="C7" s="206"/>
      <c r="D7" s="206"/>
      <c r="E7" s="206"/>
      <c r="F7" s="206"/>
      <c r="G7" s="206"/>
      <c r="H7" s="206"/>
      <c r="I7" s="206"/>
      <c r="J7" s="206"/>
      <c r="K7" s="206"/>
      <c r="L7" s="206"/>
      <c r="M7" s="206"/>
      <c r="N7" s="206"/>
      <c r="O7" s="206"/>
      <c r="P7" s="14"/>
      <c r="Q7" s="14"/>
      <c r="R7" s="14"/>
      <c r="S7" s="14"/>
      <c r="T7" s="14"/>
      <c r="U7" s="14"/>
      <c r="V7" s="14"/>
    </row>
    <row r="8" spans="1:22" x14ac:dyDescent="0.35">
      <c r="A8" s="206"/>
      <c r="B8" s="206"/>
      <c r="C8" s="206"/>
      <c r="D8" s="206"/>
      <c r="E8" s="206"/>
      <c r="F8" s="206"/>
      <c r="G8" s="206"/>
      <c r="H8" s="206"/>
      <c r="I8" s="206"/>
      <c r="J8" s="206"/>
      <c r="K8" s="206"/>
      <c r="L8" s="206"/>
      <c r="M8" s="206"/>
      <c r="N8" s="206"/>
      <c r="O8" s="206"/>
      <c r="P8" s="14"/>
      <c r="Q8" s="14"/>
      <c r="R8" s="14"/>
      <c r="S8" s="14"/>
      <c r="T8" s="14"/>
      <c r="U8" s="14"/>
      <c r="V8" s="14"/>
    </row>
    <row r="9" spans="1:22" x14ac:dyDescent="0.35">
      <c r="A9" s="206"/>
      <c r="B9" s="206"/>
      <c r="C9" s="206"/>
      <c r="D9" s="206"/>
      <c r="E9" s="206"/>
      <c r="F9" s="206"/>
      <c r="G9" s="206"/>
      <c r="H9" s="206"/>
      <c r="I9" s="206"/>
      <c r="J9" s="206"/>
      <c r="K9" s="206"/>
      <c r="L9" s="206"/>
      <c r="M9" s="206"/>
      <c r="N9" s="206"/>
      <c r="O9" s="206"/>
      <c r="P9" s="15" t="s">
        <v>20</v>
      </c>
      <c r="Q9" s="14"/>
      <c r="R9" s="14"/>
      <c r="S9" s="14"/>
      <c r="T9" s="14"/>
      <c r="U9" s="14"/>
      <c r="V9" s="14"/>
    </row>
    <row r="10" spans="1:22" x14ac:dyDescent="0.35">
      <c r="A10" s="206"/>
      <c r="B10" s="206"/>
      <c r="C10" s="206"/>
      <c r="D10" s="206"/>
      <c r="E10" s="206"/>
      <c r="F10" s="206"/>
      <c r="G10" s="206"/>
      <c r="H10" s="206"/>
      <c r="I10" s="206"/>
      <c r="J10" s="206"/>
      <c r="K10" s="206"/>
      <c r="L10" s="206"/>
      <c r="M10" s="206"/>
      <c r="N10" s="206"/>
      <c r="O10" s="206"/>
      <c r="P10" s="14"/>
      <c r="Q10" s="14"/>
      <c r="R10" s="14"/>
      <c r="S10" s="14"/>
      <c r="T10" s="14"/>
      <c r="U10" s="14"/>
      <c r="V10" s="14"/>
    </row>
    <row r="11" spans="1:22" x14ac:dyDescent="0.35">
      <c r="A11" s="206"/>
      <c r="B11" s="206"/>
      <c r="C11" s="206"/>
      <c r="D11" s="206"/>
      <c r="E11" s="206"/>
      <c r="F11" s="206"/>
      <c r="G11" s="206"/>
      <c r="H11" s="206"/>
      <c r="I11" s="206"/>
      <c r="J11" s="206"/>
      <c r="K11" s="206"/>
      <c r="L11" s="206"/>
      <c r="M11" s="206"/>
      <c r="N11" s="206"/>
      <c r="O11" s="206"/>
      <c r="P11" s="16" t="s">
        <v>1</v>
      </c>
      <c r="Q11" s="14"/>
      <c r="R11" s="14"/>
      <c r="S11" s="14"/>
      <c r="T11" s="14"/>
      <c r="U11" s="14"/>
      <c r="V11" s="14"/>
    </row>
    <row r="12" spans="1:22" x14ac:dyDescent="0.35">
      <c r="A12" s="206"/>
      <c r="B12" s="206"/>
      <c r="C12" s="206"/>
      <c r="D12" s="206"/>
      <c r="E12" s="206"/>
      <c r="F12" s="206"/>
      <c r="G12" s="206"/>
      <c r="H12" s="206"/>
      <c r="I12" s="206"/>
      <c r="J12" s="206"/>
      <c r="K12" s="206"/>
      <c r="L12" s="206"/>
      <c r="M12" s="206"/>
      <c r="N12" s="206"/>
      <c r="O12" s="206"/>
      <c r="P12" s="14"/>
      <c r="Q12" s="14"/>
      <c r="R12" s="14"/>
      <c r="S12" s="14"/>
      <c r="T12" s="14"/>
      <c r="U12" s="14"/>
      <c r="V12" s="14"/>
    </row>
    <row r="13" spans="1:22" x14ac:dyDescent="0.35">
      <c r="A13" s="206"/>
      <c r="B13" s="206"/>
      <c r="C13" s="206"/>
      <c r="D13" s="206"/>
      <c r="E13" s="206"/>
      <c r="F13" s="206"/>
      <c r="G13" s="206"/>
      <c r="H13" s="206"/>
      <c r="I13" s="206"/>
      <c r="J13" s="206"/>
      <c r="K13" s="206"/>
      <c r="L13" s="206"/>
      <c r="M13" s="206"/>
      <c r="N13" s="206"/>
      <c r="O13" s="206"/>
      <c r="P13" s="14"/>
      <c r="Q13" s="14"/>
      <c r="R13" s="14"/>
      <c r="S13" s="14"/>
      <c r="T13" s="14"/>
      <c r="U13" s="14"/>
      <c r="V13" s="14"/>
    </row>
    <row r="14" spans="1:22" x14ac:dyDescent="0.35">
      <c r="A14" s="206"/>
      <c r="B14" s="206"/>
      <c r="C14" s="206"/>
      <c r="D14" s="206"/>
      <c r="E14" s="206"/>
      <c r="F14" s="206"/>
      <c r="G14" s="206"/>
      <c r="H14" s="206"/>
      <c r="I14" s="206"/>
      <c r="J14" s="206"/>
      <c r="K14" s="206"/>
      <c r="L14" s="206"/>
      <c r="M14" s="206"/>
      <c r="N14" s="206"/>
      <c r="O14" s="206"/>
      <c r="P14" s="14"/>
      <c r="Q14" s="14"/>
      <c r="R14" s="14"/>
      <c r="S14" s="14"/>
      <c r="T14" s="14"/>
      <c r="U14" s="14"/>
      <c r="V14" s="14"/>
    </row>
    <row r="15" spans="1:22" x14ac:dyDescent="0.35">
      <c r="A15" s="206"/>
      <c r="B15" s="206"/>
      <c r="C15" s="206"/>
      <c r="D15" s="206"/>
      <c r="E15" s="206"/>
      <c r="F15" s="206"/>
      <c r="G15" s="206"/>
      <c r="H15" s="206"/>
      <c r="I15" s="206"/>
      <c r="J15" s="206"/>
      <c r="K15" s="206"/>
      <c r="L15" s="206"/>
      <c r="M15" s="206"/>
      <c r="N15" s="206"/>
      <c r="O15" s="206"/>
      <c r="P15" s="14"/>
      <c r="Q15" s="14"/>
      <c r="R15" s="14"/>
      <c r="S15" s="14"/>
      <c r="T15" s="14"/>
      <c r="U15" s="14"/>
      <c r="V15" s="14"/>
    </row>
    <row r="16" spans="1:22" x14ac:dyDescent="0.35">
      <c r="A16" s="206"/>
      <c r="B16" s="206"/>
      <c r="C16" s="206"/>
      <c r="D16" s="206"/>
      <c r="E16" s="206"/>
      <c r="F16" s="206"/>
      <c r="G16" s="206"/>
      <c r="H16" s="206"/>
      <c r="I16" s="206"/>
      <c r="J16" s="206"/>
      <c r="K16" s="206"/>
      <c r="L16" s="206"/>
      <c r="M16" s="206"/>
      <c r="N16" s="206"/>
      <c r="O16" s="206"/>
      <c r="P16" s="14"/>
      <c r="Q16" s="14"/>
      <c r="R16" s="14"/>
      <c r="S16" s="14"/>
      <c r="T16" s="14"/>
      <c r="U16" s="14"/>
      <c r="V16" s="14"/>
    </row>
    <row r="17" spans="1:22" x14ac:dyDescent="0.35">
      <c r="A17" s="206"/>
      <c r="B17" s="206"/>
      <c r="C17" s="206"/>
      <c r="D17" s="206"/>
      <c r="E17" s="206"/>
      <c r="F17" s="206"/>
      <c r="G17" s="206"/>
      <c r="H17" s="206"/>
      <c r="I17" s="206"/>
      <c r="J17" s="206"/>
      <c r="K17" s="206"/>
      <c r="L17" s="206"/>
      <c r="M17" s="206"/>
      <c r="N17" s="206"/>
      <c r="O17" s="206"/>
      <c r="P17" s="14"/>
      <c r="Q17" s="14"/>
      <c r="R17" s="14"/>
      <c r="S17" s="14"/>
      <c r="T17" s="14"/>
      <c r="U17" s="14"/>
      <c r="V17" s="14"/>
    </row>
    <row r="18" spans="1:22" x14ac:dyDescent="0.35">
      <c r="A18" s="18"/>
      <c r="B18" s="18"/>
      <c r="C18" s="18"/>
      <c r="D18" s="18"/>
      <c r="E18" s="18"/>
      <c r="F18" s="18"/>
      <c r="G18" s="18"/>
      <c r="H18" s="18"/>
      <c r="I18" s="18"/>
      <c r="J18" s="18"/>
      <c r="K18" s="18"/>
      <c r="L18" s="18"/>
      <c r="M18" s="18"/>
      <c r="N18" s="18"/>
      <c r="O18" s="18"/>
      <c r="P18" s="14"/>
      <c r="Q18" s="14"/>
      <c r="R18" s="14"/>
      <c r="S18" s="14"/>
      <c r="T18" s="14"/>
      <c r="U18" s="14"/>
      <c r="V18" s="14"/>
    </row>
    <row r="19" spans="1:22" x14ac:dyDescent="0.35">
      <c r="A19" s="18"/>
      <c r="B19" s="18"/>
      <c r="C19" s="18"/>
      <c r="D19" s="18"/>
      <c r="E19" s="18"/>
      <c r="F19" s="18"/>
      <c r="G19" s="18"/>
      <c r="H19" s="18"/>
      <c r="I19" s="18"/>
      <c r="J19" s="18"/>
      <c r="K19" s="18"/>
      <c r="L19" s="18"/>
      <c r="M19" s="18"/>
      <c r="N19" s="18"/>
      <c r="O19" s="18"/>
      <c r="P19" s="14"/>
      <c r="Q19" s="14"/>
      <c r="R19" s="14"/>
      <c r="S19" s="14"/>
      <c r="T19" s="14"/>
      <c r="U19" s="14"/>
      <c r="V19" s="14"/>
    </row>
    <row r="20" spans="1:22" x14ac:dyDescent="0.35">
      <c r="A20" s="199" t="s">
        <v>186</v>
      </c>
      <c r="B20" s="199"/>
      <c r="C20" s="199"/>
      <c r="D20" s="199"/>
      <c r="E20" s="199"/>
      <c r="F20" s="199"/>
      <c r="G20" s="199"/>
      <c r="H20" s="199"/>
      <c r="I20" s="199"/>
      <c r="J20" s="199"/>
      <c r="K20" s="199"/>
      <c r="L20" s="199"/>
      <c r="M20" s="199"/>
      <c r="N20" s="199"/>
      <c r="O20" s="199"/>
      <c r="P20" s="14"/>
      <c r="Q20" s="14"/>
      <c r="R20" s="14"/>
      <c r="S20" s="14"/>
      <c r="T20" s="14"/>
      <c r="U20" s="14"/>
      <c r="V20" s="14"/>
    </row>
    <row r="21" spans="1:22" x14ac:dyDescent="0.35">
      <c r="A21" s="199"/>
      <c r="B21" s="199"/>
      <c r="C21" s="199"/>
      <c r="D21" s="199"/>
      <c r="E21" s="199"/>
      <c r="F21" s="199"/>
      <c r="G21" s="199"/>
      <c r="H21" s="199"/>
      <c r="I21" s="199"/>
      <c r="J21" s="199"/>
      <c r="K21" s="199"/>
      <c r="L21" s="199"/>
      <c r="M21" s="199"/>
      <c r="N21" s="199"/>
      <c r="O21" s="199"/>
      <c r="P21" s="14"/>
      <c r="Q21" s="14"/>
      <c r="R21" s="14"/>
      <c r="S21" s="14"/>
      <c r="T21" s="14"/>
      <c r="U21" s="14"/>
      <c r="V21" s="14"/>
    </row>
    <row r="22" spans="1:22" x14ac:dyDescent="0.35">
      <c r="A22" s="199"/>
      <c r="B22" s="199"/>
      <c r="C22" s="199"/>
      <c r="D22" s="199"/>
      <c r="E22" s="199"/>
      <c r="F22" s="199"/>
      <c r="G22" s="199"/>
      <c r="H22" s="199"/>
      <c r="I22" s="199"/>
      <c r="J22" s="199"/>
      <c r="K22" s="199"/>
      <c r="L22" s="199"/>
      <c r="M22" s="199"/>
      <c r="N22" s="199"/>
      <c r="O22" s="199"/>
      <c r="P22" s="14"/>
      <c r="Q22" s="14"/>
      <c r="R22" s="14"/>
      <c r="S22" s="14"/>
      <c r="T22" s="14"/>
      <c r="U22" s="14"/>
      <c r="V22" s="14"/>
    </row>
    <row r="23" spans="1:22" x14ac:dyDescent="0.35">
      <c r="A23" s="199"/>
      <c r="B23" s="199"/>
      <c r="C23" s="199"/>
      <c r="D23" s="199"/>
      <c r="E23" s="199"/>
      <c r="F23" s="199"/>
      <c r="G23" s="199"/>
      <c r="H23" s="199"/>
      <c r="I23" s="199"/>
      <c r="J23" s="199"/>
      <c r="K23" s="199"/>
      <c r="L23" s="199"/>
      <c r="M23" s="199"/>
      <c r="N23" s="199"/>
      <c r="O23" s="199"/>
      <c r="P23" s="14"/>
      <c r="Q23" s="14"/>
      <c r="R23" s="14"/>
      <c r="S23" s="14"/>
      <c r="T23" s="14"/>
      <c r="U23" s="14"/>
      <c r="V23" s="14"/>
    </row>
    <row r="24" spans="1:22" x14ac:dyDescent="0.35">
      <c r="A24" s="199"/>
      <c r="B24" s="199"/>
      <c r="C24" s="199"/>
      <c r="D24" s="199"/>
      <c r="E24" s="199"/>
      <c r="F24" s="199"/>
      <c r="G24" s="199"/>
      <c r="H24" s="199"/>
      <c r="I24" s="199"/>
      <c r="J24" s="199"/>
      <c r="K24" s="199"/>
      <c r="L24" s="199"/>
      <c r="M24" s="199"/>
      <c r="N24" s="199"/>
      <c r="O24" s="199"/>
      <c r="P24" s="14"/>
      <c r="Q24" s="14"/>
      <c r="R24" s="14"/>
      <c r="S24" s="14"/>
      <c r="T24" s="14"/>
      <c r="U24" s="14"/>
      <c r="V24" s="14"/>
    </row>
    <row r="25" spans="1:22" x14ac:dyDescent="0.35">
      <c r="A25" s="199"/>
      <c r="B25" s="199"/>
      <c r="C25" s="199"/>
      <c r="D25" s="199"/>
      <c r="E25" s="199"/>
      <c r="F25" s="199"/>
      <c r="G25" s="199"/>
      <c r="H25" s="199"/>
      <c r="I25" s="199"/>
      <c r="J25" s="199"/>
      <c r="K25" s="199"/>
      <c r="L25" s="199"/>
      <c r="M25" s="199"/>
      <c r="N25" s="199"/>
      <c r="O25" s="199"/>
      <c r="P25" s="14"/>
      <c r="Q25" s="14"/>
      <c r="R25" s="14"/>
      <c r="S25" s="14"/>
      <c r="T25" s="14"/>
      <c r="U25" s="14"/>
      <c r="V25" s="14"/>
    </row>
    <row r="26" spans="1:22" x14ac:dyDescent="0.35">
      <c r="A26" s="199"/>
      <c r="B26" s="199"/>
      <c r="C26" s="199"/>
      <c r="D26" s="199"/>
      <c r="E26" s="199"/>
      <c r="F26" s="199"/>
      <c r="G26" s="199"/>
      <c r="H26" s="199"/>
      <c r="I26" s="199"/>
      <c r="J26" s="199"/>
      <c r="K26" s="199"/>
      <c r="L26" s="199"/>
      <c r="M26" s="199"/>
      <c r="N26" s="199"/>
      <c r="O26" s="199"/>
      <c r="P26" s="14"/>
      <c r="Q26" s="14"/>
      <c r="R26" s="14"/>
      <c r="S26" s="14"/>
      <c r="T26" s="14"/>
      <c r="U26" s="14"/>
      <c r="V26" s="14"/>
    </row>
    <row r="27" spans="1:22" x14ac:dyDescent="0.35">
      <c r="A27" s="199"/>
      <c r="B27" s="199"/>
      <c r="C27" s="199"/>
      <c r="D27" s="199"/>
      <c r="E27" s="199"/>
      <c r="F27" s="199"/>
      <c r="G27" s="199"/>
      <c r="H27" s="199"/>
      <c r="I27" s="199"/>
      <c r="J27" s="199"/>
      <c r="K27" s="199"/>
      <c r="L27" s="199"/>
      <c r="M27" s="199"/>
      <c r="N27" s="199"/>
      <c r="O27" s="199"/>
      <c r="P27" s="14"/>
      <c r="Q27" s="14"/>
      <c r="R27" s="14"/>
      <c r="S27" s="14"/>
      <c r="T27" s="14"/>
      <c r="U27" s="14"/>
      <c r="V27" s="14"/>
    </row>
    <row r="28" spans="1:22" x14ac:dyDescent="0.35">
      <c r="A28" s="199"/>
      <c r="B28" s="199"/>
      <c r="C28" s="199"/>
      <c r="D28" s="199"/>
      <c r="E28" s="199"/>
      <c r="F28" s="199"/>
      <c r="G28" s="199"/>
      <c r="H28" s="199"/>
      <c r="I28" s="199"/>
      <c r="J28" s="199"/>
      <c r="K28" s="199"/>
      <c r="L28" s="199"/>
      <c r="M28" s="199"/>
      <c r="N28" s="199"/>
      <c r="O28" s="199"/>
      <c r="P28" s="14"/>
      <c r="Q28" s="14"/>
      <c r="R28" s="14"/>
      <c r="S28" s="14"/>
      <c r="T28" s="14"/>
      <c r="U28" s="14"/>
      <c r="V28" s="14"/>
    </row>
    <row r="29" spans="1:22" x14ac:dyDescent="0.35">
      <c r="A29" s="199"/>
      <c r="B29" s="199"/>
      <c r="C29" s="199"/>
      <c r="D29" s="199"/>
      <c r="E29" s="199"/>
      <c r="F29" s="199"/>
      <c r="G29" s="199"/>
      <c r="H29" s="199"/>
      <c r="I29" s="199"/>
      <c r="J29" s="199"/>
      <c r="K29" s="199"/>
      <c r="L29" s="199"/>
      <c r="M29" s="199"/>
      <c r="N29" s="199"/>
      <c r="O29" s="199"/>
      <c r="P29" s="14"/>
      <c r="Q29" s="14"/>
      <c r="R29" s="14"/>
      <c r="S29" s="14"/>
      <c r="T29" s="14"/>
      <c r="U29" s="14"/>
      <c r="V29" s="14"/>
    </row>
    <row r="30" spans="1:22" x14ac:dyDescent="0.35">
      <c r="A30" s="199"/>
      <c r="B30" s="199"/>
      <c r="C30" s="199"/>
      <c r="D30" s="199"/>
      <c r="E30" s="199"/>
      <c r="F30" s="199"/>
      <c r="G30" s="199"/>
      <c r="H30" s="199"/>
      <c r="I30" s="199"/>
      <c r="J30" s="199"/>
      <c r="K30" s="199"/>
      <c r="L30" s="199"/>
      <c r="M30" s="199"/>
      <c r="N30" s="199"/>
      <c r="O30" s="199"/>
      <c r="P30" s="14"/>
      <c r="Q30" s="14"/>
      <c r="R30" s="14"/>
      <c r="S30" s="14"/>
      <c r="T30" s="14"/>
      <c r="U30" s="14"/>
      <c r="V30" s="14"/>
    </row>
    <row r="31" spans="1:22" x14ac:dyDescent="0.35">
      <c r="A31" s="199"/>
      <c r="B31" s="199"/>
      <c r="C31" s="199"/>
      <c r="D31" s="199"/>
      <c r="E31" s="199"/>
      <c r="F31" s="199"/>
      <c r="G31" s="199"/>
      <c r="H31" s="199"/>
      <c r="I31" s="199"/>
      <c r="J31" s="199"/>
      <c r="K31" s="199"/>
      <c r="L31" s="199"/>
      <c r="M31" s="199"/>
      <c r="N31" s="199"/>
      <c r="O31" s="199"/>
      <c r="P31" s="14"/>
      <c r="Q31" s="14"/>
      <c r="R31" s="14"/>
      <c r="S31" s="14"/>
      <c r="T31" s="14"/>
      <c r="U31" s="14"/>
      <c r="V31" s="14"/>
    </row>
    <row r="32" spans="1:22" x14ac:dyDescent="0.35">
      <c r="A32" s="199"/>
      <c r="B32" s="199"/>
      <c r="C32" s="199"/>
      <c r="D32" s="199"/>
      <c r="E32" s="199"/>
      <c r="F32" s="199"/>
      <c r="G32" s="199"/>
      <c r="H32" s="199"/>
      <c r="I32" s="199"/>
      <c r="J32" s="199"/>
      <c r="K32" s="199"/>
      <c r="L32" s="199"/>
      <c r="M32" s="199"/>
      <c r="N32" s="199"/>
      <c r="O32" s="199"/>
      <c r="P32" s="14"/>
      <c r="Q32" s="14"/>
      <c r="R32" s="14"/>
      <c r="S32" s="14"/>
      <c r="T32" s="14"/>
      <c r="U32" s="14"/>
      <c r="V32" s="14"/>
    </row>
    <row r="33" spans="1:22" x14ac:dyDescent="0.35">
      <c r="A33" s="199"/>
      <c r="B33" s="199"/>
      <c r="C33" s="199"/>
      <c r="D33" s="199"/>
      <c r="E33" s="199"/>
      <c r="F33" s="199"/>
      <c r="G33" s="199"/>
      <c r="H33" s="199"/>
      <c r="I33" s="199"/>
      <c r="J33" s="199"/>
      <c r="K33" s="199"/>
      <c r="L33" s="199"/>
      <c r="M33" s="199"/>
      <c r="N33" s="199"/>
      <c r="O33" s="199"/>
      <c r="P33" s="14"/>
      <c r="Q33" s="14"/>
      <c r="R33" s="14"/>
      <c r="S33" s="14"/>
      <c r="T33" s="14"/>
      <c r="U33" s="14"/>
      <c r="V33" s="14"/>
    </row>
    <row r="34" spans="1:22" x14ac:dyDescent="0.35">
      <c r="A34" s="199"/>
      <c r="B34" s="199"/>
      <c r="C34" s="199"/>
      <c r="D34" s="199"/>
      <c r="E34" s="199"/>
      <c r="F34" s="199"/>
      <c r="G34" s="199"/>
      <c r="H34" s="199"/>
      <c r="I34" s="199"/>
      <c r="J34" s="199"/>
      <c r="K34" s="199"/>
      <c r="L34" s="199"/>
      <c r="M34" s="199"/>
      <c r="N34" s="199"/>
      <c r="O34" s="199"/>
      <c r="P34" s="14"/>
      <c r="Q34" s="14"/>
      <c r="R34" s="14"/>
      <c r="S34" s="14"/>
      <c r="T34" s="14"/>
      <c r="U34" s="14"/>
      <c r="V34" s="14"/>
    </row>
    <row r="35" spans="1:22" x14ac:dyDescent="0.35">
      <c r="A35" s="199"/>
      <c r="B35" s="199"/>
      <c r="C35" s="199"/>
      <c r="D35" s="199"/>
      <c r="E35" s="199"/>
      <c r="F35" s="199"/>
      <c r="G35" s="199"/>
      <c r="H35" s="199"/>
      <c r="I35" s="199"/>
      <c r="J35" s="199"/>
      <c r="K35" s="199"/>
      <c r="L35" s="199"/>
      <c r="M35" s="199"/>
      <c r="N35" s="199"/>
      <c r="O35" s="199"/>
      <c r="P35" s="14"/>
      <c r="Q35" s="14"/>
      <c r="R35" s="14"/>
      <c r="S35" s="14"/>
      <c r="T35" s="14"/>
      <c r="U35" s="14"/>
      <c r="V35" s="14"/>
    </row>
    <row r="36" spans="1:22" x14ac:dyDescent="0.35">
      <c r="A36" s="199"/>
      <c r="B36" s="199"/>
      <c r="C36" s="199"/>
      <c r="D36" s="199"/>
      <c r="E36" s="199"/>
      <c r="F36" s="199"/>
      <c r="G36" s="199"/>
      <c r="H36" s="199"/>
      <c r="I36" s="199"/>
      <c r="J36" s="199"/>
      <c r="K36" s="199"/>
      <c r="L36" s="199"/>
      <c r="M36" s="199"/>
      <c r="N36" s="199"/>
      <c r="O36" s="199"/>
      <c r="P36" s="14"/>
      <c r="Q36" s="14"/>
      <c r="R36" s="14"/>
      <c r="S36" s="14"/>
      <c r="T36" s="14"/>
      <c r="U36" s="14"/>
      <c r="V36" s="14"/>
    </row>
    <row r="37" spans="1:22" x14ac:dyDescent="0.35">
      <c r="A37" s="199"/>
      <c r="B37" s="199"/>
      <c r="C37" s="199"/>
      <c r="D37" s="199"/>
      <c r="E37" s="199"/>
      <c r="F37" s="199"/>
      <c r="G37" s="199"/>
      <c r="H37" s="199"/>
      <c r="I37" s="199"/>
      <c r="J37" s="199"/>
      <c r="K37" s="199"/>
      <c r="L37" s="199"/>
      <c r="M37" s="199"/>
      <c r="N37" s="199"/>
      <c r="O37" s="199"/>
      <c r="P37" s="14"/>
      <c r="Q37" s="14"/>
      <c r="R37" s="14"/>
      <c r="S37" s="14"/>
      <c r="T37" s="14"/>
      <c r="U37" s="14"/>
      <c r="V37" s="14"/>
    </row>
    <row r="38" spans="1:22" x14ac:dyDescent="0.35">
      <c r="A38" s="199"/>
      <c r="B38" s="199"/>
      <c r="C38" s="199"/>
      <c r="D38" s="199"/>
      <c r="E38" s="199"/>
      <c r="F38" s="199"/>
      <c r="G38" s="199"/>
      <c r="H38" s="199"/>
      <c r="I38" s="199"/>
      <c r="J38" s="199"/>
      <c r="K38" s="199"/>
      <c r="L38" s="199"/>
      <c r="M38" s="199"/>
      <c r="N38" s="199"/>
      <c r="O38" s="199"/>
      <c r="P38" s="14"/>
      <c r="Q38" s="14"/>
      <c r="R38" s="14"/>
      <c r="S38" s="14"/>
      <c r="T38" s="14"/>
      <c r="U38" s="14"/>
      <c r="V38" s="14"/>
    </row>
    <row r="39" spans="1:22" x14ac:dyDescent="0.35">
      <c r="A39" s="199"/>
      <c r="B39" s="199"/>
      <c r="C39" s="199"/>
      <c r="D39" s="199"/>
      <c r="E39" s="199"/>
      <c r="F39" s="199"/>
      <c r="G39" s="199"/>
      <c r="H39" s="199"/>
      <c r="I39" s="199"/>
      <c r="J39" s="199"/>
      <c r="K39" s="199"/>
      <c r="L39" s="199"/>
      <c r="M39" s="199"/>
      <c r="N39" s="199"/>
      <c r="O39" s="199"/>
      <c r="P39" s="14"/>
      <c r="Q39" s="14"/>
      <c r="R39" s="14"/>
      <c r="S39" s="14"/>
      <c r="T39" s="14"/>
      <c r="U39" s="14"/>
      <c r="V39" s="14"/>
    </row>
    <row r="40" spans="1:22" x14ac:dyDescent="0.35">
      <c r="A40" s="199"/>
      <c r="B40" s="199"/>
      <c r="C40" s="199"/>
      <c r="D40" s="199"/>
      <c r="E40" s="199"/>
      <c r="F40" s="199"/>
      <c r="G40" s="199"/>
      <c r="H40" s="199"/>
      <c r="I40" s="199"/>
      <c r="J40" s="199"/>
      <c r="K40" s="199"/>
      <c r="L40" s="199"/>
      <c r="M40" s="199"/>
      <c r="N40" s="199"/>
      <c r="O40" s="199"/>
      <c r="P40" s="14"/>
      <c r="Q40" s="14"/>
      <c r="R40" s="14"/>
      <c r="S40" s="14"/>
      <c r="T40" s="14"/>
      <c r="U40" s="14"/>
      <c r="V40" s="14"/>
    </row>
    <row r="41" spans="1:22" x14ac:dyDescent="0.35">
      <c r="A41" s="199"/>
      <c r="B41" s="199"/>
      <c r="C41" s="199"/>
      <c r="D41" s="199"/>
      <c r="E41" s="199"/>
      <c r="F41" s="199"/>
      <c r="G41" s="199"/>
      <c r="H41" s="199"/>
      <c r="I41" s="199"/>
      <c r="J41" s="199"/>
      <c r="K41" s="199"/>
      <c r="L41" s="199"/>
      <c r="M41" s="199"/>
      <c r="N41" s="199"/>
      <c r="O41" s="199"/>
      <c r="P41" s="14"/>
      <c r="Q41" s="14"/>
      <c r="R41" s="14"/>
      <c r="S41" s="14"/>
      <c r="T41" s="14"/>
      <c r="U41" s="14"/>
      <c r="V41" s="14"/>
    </row>
    <row r="42" spans="1:22" x14ac:dyDescent="0.35">
      <c r="A42" s="199"/>
      <c r="B42" s="199"/>
      <c r="C42" s="199"/>
      <c r="D42" s="199"/>
      <c r="E42" s="199"/>
      <c r="F42" s="199"/>
      <c r="G42" s="199"/>
      <c r="H42" s="199"/>
      <c r="I42" s="199"/>
      <c r="J42" s="199"/>
      <c r="K42" s="199"/>
      <c r="L42" s="199"/>
      <c r="M42" s="199"/>
      <c r="N42" s="199"/>
      <c r="O42" s="199"/>
      <c r="P42" s="14"/>
      <c r="Q42" s="14"/>
      <c r="R42" s="14"/>
      <c r="S42" s="14"/>
      <c r="T42" s="14"/>
      <c r="U42" s="14"/>
      <c r="V42" s="14"/>
    </row>
    <row r="43" spans="1:22" x14ac:dyDescent="0.35">
      <c r="A43" s="199"/>
      <c r="B43" s="199"/>
      <c r="C43" s="199"/>
      <c r="D43" s="199"/>
      <c r="E43" s="199"/>
      <c r="F43" s="199"/>
      <c r="G43" s="199"/>
      <c r="H43" s="199"/>
      <c r="I43" s="199"/>
      <c r="J43" s="199"/>
      <c r="K43" s="199"/>
      <c r="L43" s="199"/>
      <c r="M43" s="199"/>
      <c r="N43" s="199"/>
      <c r="O43" s="199"/>
      <c r="P43" s="14"/>
      <c r="Q43" s="14"/>
      <c r="R43" s="14"/>
      <c r="S43" s="14"/>
      <c r="T43" s="14"/>
      <c r="U43" s="14"/>
      <c r="V43" s="14"/>
    </row>
    <row r="44" spans="1:22" x14ac:dyDescent="0.35">
      <c r="A44" s="199"/>
      <c r="B44" s="199"/>
      <c r="C44" s="199"/>
      <c r="D44" s="199"/>
      <c r="E44" s="199"/>
      <c r="F44" s="199"/>
      <c r="G44" s="199"/>
      <c r="H44" s="199"/>
      <c r="I44" s="199"/>
      <c r="J44" s="199"/>
      <c r="K44" s="199"/>
      <c r="L44" s="199"/>
      <c r="M44" s="199"/>
      <c r="N44" s="199"/>
      <c r="O44" s="199"/>
      <c r="P44" s="14"/>
      <c r="Q44" s="14"/>
      <c r="R44" s="14"/>
      <c r="S44" s="14"/>
      <c r="T44" s="14"/>
      <c r="U44" s="14"/>
      <c r="V44" s="14"/>
    </row>
    <row r="45" spans="1:22" x14ac:dyDescent="0.35">
      <c r="A45" s="199"/>
      <c r="B45" s="199"/>
      <c r="C45" s="199"/>
      <c r="D45" s="199"/>
      <c r="E45" s="199"/>
      <c r="F45" s="199"/>
      <c r="G45" s="199"/>
      <c r="H45" s="199"/>
      <c r="I45" s="199"/>
      <c r="J45" s="199"/>
      <c r="K45" s="199"/>
      <c r="L45" s="199"/>
      <c r="M45" s="199"/>
      <c r="N45" s="199"/>
      <c r="O45" s="199"/>
      <c r="P45" s="14"/>
      <c r="Q45" s="14"/>
      <c r="R45" s="14"/>
      <c r="S45" s="14"/>
      <c r="T45" s="14"/>
      <c r="U45" s="14"/>
      <c r="V45" s="14"/>
    </row>
    <row r="46" spans="1:22" x14ac:dyDescent="0.35">
      <c r="A46" s="199"/>
      <c r="B46" s="199"/>
      <c r="C46" s="199"/>
      <c r="D46" s="199"/>
      <c r="E46" s="199"/>
      <c r="F46" s="199"/>
      <c r="G46" s="199"/>
      <c r="H46" s="199"/>
      <c r="I46" s="199"/>
      <c r="J46" s="199"/>
      <c r="K46" s="199"/>
      <c r="L46" s="199"/>
      <c r="M46" s="199"/>
      <c r="N46" s="199"/>
      <c r="O46" s="199"/>
      <c r="P46" s="14"/>
      <c r="Q46" s="14"/>
      <c r="R46" s="14"/>
      <c r="S46" s="14"/>
      <c r="T46" s="14"/>
      <c r="U46" s="14"/>
      <c r="V46" s="14"/>
    </row>
    <row r="47" spans="1:22" x14ac:dyDescent="0.35">
      <c r="A47" s="199"/>
      <c r="B47" s="199"/>
      <c r="C47" s="199"/>
      <c r="D47" s="199"/>
      <c r="E47" s="199"/>
      <c r="F47" s="199"/>
      <c r="G47" s="199"/>
      <c r="H47" s="199"/>
      <c r="I47" s="199"/>
      <c r="J47" s="199"/>
      <c r="K47" s="199"/>
      <c r="L47" s="199"/>
      <c r="M47" s="199"/>
      <c r="N47" s="199"/>
      <c r="O47" s="199"/>
      <c r="P47" s="14"/>
      <c r="Q47" s="14"/>
      <c r="R47" s="14"/>
      <c r="S47" s="14"/>
      <c r="T47" s="14"/>
      <c r="U47" s="14"/>
      <c r="V47" s="14"/>
    </row>
    <row r="48" spans="1:22" x14ac:dyDescent="0.35">
      <c r="A48" s="199"/>
      <c r="B48" s="199"/>
      <c r="C48" s="199"/>
      <c r="D48" s="199"/>
      <c r="E48" s="199"/>
      <c r="F48" s="199"/>
      <c r="G48" s="199"/>
      <c r="H48" s="199"/>
      <c r="I48" s="199"/>
      <c r="J48" s="199"/>
      <c r="K48" s="199"/>
      <c r="L48" s="199"/>
      <c r="M48" s="199"/>
      <c r="N48" s="199"/>
      <c r="O48" s="199"/>
      <c r="P48" s="14"/>
      <c r="Q48" s="14"/>
      <c r="R48" s="14"/>
      <c r="S48" s="14"/>
      <c r="T48" s="14"/>
      <c r="U48" s="14"/>
      <c r="V48" s="14"/>
    </row>
    <row r="49" spans="1:22" x14ac:dyDescent="0.35">
      <c r="A49" s="199"/>
      <c r="B49" s="199"/>
      <c r="C49" s="199"/>
      <c r="D49" s="199"/>
      <c r="E49" s="199"/>
      <c r="F49" s="199"/>
      <c r="G49" s="199"/>
      <c r="H49" s="199"/>
      <c r="I49" s="199"/>
      <c r="J49" s="199"/>
      <c r="K49" s="199"/>
      <c r="L49" s="199"/>
      <c r="M49" s="199"/>
      <c r="N49" s="199"/>
      <c r="O49" s="199"/>
      <c r="P49" s="14"/>
      <c r="Q49" s="14"/>
      <c r="R49" s="14"/>
      <c r="S49" s="14"/>
      <c r="T49" s="14"/>
      <c r="U49" s="14"/>
      <c r="V49" s="14"/>
    </row>
    <row r="50" spans="1:22" x14ac:dyDescent="0.35">
      <c r="A50" s="199"/>
      <c r="B50" s="199"/>
      <c r="C50" s="199"/>
      <c r="D50" s="199"/>
      <c r="E50" s="199"/>
      <c r="F50" s="199"/>
      <c r="G50" s="199"/>
      <c r="H50" s="199"/>
      <c r="I50" s="199"/>
      <c r="J50" s="199"/>
      <c r="K50" s="199"/>
      <c r="L50" s="199"/>
      <c r="M50" s="199"/>
      <c r="N50" s="199"/>
      <c r="O50" s="199"/>
      <c r="P50" s="14"/>
      <c r="Q50" s="14"/>
      <c r="R50" s="14"/>
      <c r="S50" s="14"/>
      <c r="T50" s="14"/>
      <c r="U50" s="14"/>
      <c r="V50" s="14"/>
    </row>
    <row r="51" spans="1:22" x14ac:dyDescent="0.35">
      <c r="A51" s="199"/>
      <c r="B51" s="199"/>
      <c r="C51" s="199"/>
      <c r="D51" s="199"/>
      <c r="E51" s="199"/>
      <c r="F51" s="199"/>
      <c r="G51" s="199"/>
      <c r="H51" s="199"/>
      <c r="I51" s="199"/>
      <c r="J51" s="199"/>
      <c r="K51" s="199"/>
      <c r="L51" s="199"/>
      <c r="M51" s="199"/>
      <c r="N51" s="199"/>
      <c r="O51" s="199"/>
      <c r="P51" s="14"/>
      <c r="Q51" s="14"/>
      <c r="R51" s="14"/>
      <c r="S51" s="14"/>
      <c r="T51" s="14"/>
      <c r="U51" s="14"/>
      <c r="V51" s="14"/>
    </row>
    <row r="52" spans="1:22" x14ac:dyDescent="0.35">
      <c r="A52" s="199"/>
      <c r="B52" s="199"/>
      <c r="C52" s="199"/>
      <c r="D52" s="199"/>
      <c r="E52" s="199"/>
      <c r="F52" s="199"/>
      <c r="G52" s="199"/>
      <c r="H52" s="199"/>
      <c r="I52" s="199"/>
      <c r="J52" s="199"/>
      <c r="K52" s="199"/>
      <c r="L52" s="199"/>
      <c r="M52" s="199"/>
      <c r="N52" s="199"/>
      <c r="O52" s="199"/>
      <c r="P52" s="14"/>
      <c r="Q52" s="14"/>
      <c r="R52" s="14"/>
      <c r="S52" s="14"/>
      <c r="T52" s="14"/>
      <c r="U52" s="14"/>
      <c r="V52" s="14"/>
    </row>
    <row r="53" spans="1:22" x14ac:dyDescent="0.35">
      <c r="A53" s="199"/>
      <c r="B53" s="199"/>
      <c r="C53" s="199"/>
      <c r="D53" s="199"/>
      <c r="E53" s="199"/>
      <c r="F53" s="199"/>
      <c r="G53" s="199"/>
      <c r="H53" s="199"/>
      <c r="I53" s="199"/>
      <c r="J53" s="199"/>
      <c r="K53" s="199"/>
      <c r="L53" s="199"/>
      <c r="M53" s="199"/>
      <c r="N53" s="199"/>
      <c r="O53" s="199"/>
      <c r="P53" s="14"/>
      <c r="Q53" s="14"/>
      <c r="R53" s="14"/>
      <c r="S53" s="14"/>
      <c r="T53" s="14"/>
      <c r="U53" s="14"/>
      <c r="V53" s="14"/>
    </row>
    <row r="54" spans="1:22" x14ac:dyDescent="0.35">
      <c r="A54" s="199"/>
      <c r="B54" s="199"/>
      <c r="C54" s="199"/>
      <c r="D54" s="199"/>
      <c r="E54" s="199"/>
      <c r="F54" s="199"/>
      <c r="G54" s="199"/>
      <c r="H54" s="199"/>
      <c r="I54" s="199"/>
      <c r="J54" s="199"/>
      <c r="K54" s="199"/>
      <c r="L54" s="199"/>
      <c r="M54" s="199"/>
      <c r="N54" s="199"/>
      <c r="O54" s="199"/>
      <c r="P54" s="14"/>
      <c r="Q54" s="14"/>
      <c r="R54" s="14"/>
      <c r="S54" s="14"/>
      <c r="T54" s="14"/>
      <c r="U54" s="14"/>
      <c r="V54" s="14"/>
    </row>
    <row r="55" spans="1:22" x14ac:dyDescent="0.35">
      <c r="A55" s="199"/>
      <c r="B55" s="199"/>
      <c r="C55" s="199"/>
      <c r="D55" s="199"/>
      <c r="E55" s="199"/>
      <c r="F55" s="199"/>
      <c r="G55" s="199"/>
      <c r="H55" s="199"/>
      <c r="I55" s="199"/>
      <c r="J55" s="199"/>
      <c r="K55" s="199"/>
      <c r="L55" s="199"/>
      <c r="M55" s="199"/>
      <c r="N55" s="199"/>
      <c r="O55" s="199"/>
      <c r="P55" s="14"/>
      <c r="Q55" s="14"/>
      <c r="R55" s="14"/>
      <c r="S55" s="14"/>
      <c r="T55" s="14"/>
      <c r="U55" s="14"/>
      <c r="V55" s="14"/>
    </row>
    <row r="56" spans="1:22" x14ac:dyDescent="0.35">
      <c r="A56" s="199"/>
      <c r="B56" s="199"/>
      <c r="C56" s="199"/>
      <c r="D56" s="199"/>
      <c r="E56" s="199"/>
      <c r="F56" s="199"/>
      <c r="G56" s="199"/>
      <c r="H56" s="199"/>
      <c r="I56" s="199"/>
      <c r="J56" s="199"/>
      <c r="K56" s="199"/>
      <c r="L56" s="199"/>
      <c r="M56" s="199"/>
      <c r="N56" s="199"/>
      <c r="O56" s="199"/>
      <c r="P56" s="14"/>
      <c r="Q56" s="14"/>
      <c r="R56" s="14"/>
      <c r="S56" s="14"/>
      <c r="T56" s="14"/>
      <c r="U56" s="14"/>
      <c r="V56" s="14"/>
    </row>
    <row r="57" spans="1:22" x14ac:dyDescent="0.35">
      <c r="A57" s="199"/>
      <c r="B57" s="199"/>
      <c r="C57" s="199"/>
      <c r="D57" s="199"/>
      <c r="E57" s="199"/>
      <c r="F57" s="199"/>
      <c r="G57" s="199"/>
      <c r="H57" s="199"/>
      <c r="I57" s="199"/>
      <c r="J57" s="199"/>
      <c r="K57" s="199"/>
      <c r="L57" s="199"/>
      <c r="M57" s="199"/>
      <c r="N57" s="199"/>
      <c r="O57" s="199"/>
      <c r="P57" s="14"/>
      <c r="Q57" s="14"/>
      <c r="R57" s="14"/>
      <c r="S57" s="14"/>
      <c r="T57" s="14"/>
      <c r="U57" s="14"/>
      <c r="V57" s="14"/>
    </row>
    <row r="58" spans="1:22" x14ac:dyDescent="0.35">
      <c r="A58" s="199"/>
      <c r="B58" s="199"/>
      <c r="C58" s="199"/>
      <c r="D58" s="199"/>
      <c r="E58" s="199"/>
      <c r="F58" s="199"/>
      <c r="G58" s="199"/>
      <c r="H58" s="199"/>
      <c r="I58" s="199"/>
      <c r="J58" s="199"/>
      <c r="K58" s="199"/>
      <c r="L58" s="199"/>
      <c r="M58" s="199"/>
      <c r="N58" s="199"/>
      <c r="O58" s="199"/>
      <c r="P58" s="14"/>
      <c r="Q58" s="14"/>
      <c r="R58" s="14"/>
      <c r="S58" s="14"/>
      <c r="T58" s="14"/>
      <c r="U58" s="14"/>
      <c r="V58" s="14"/>
    </row>
    <row r="59" spans="1:22" x14ac:dyDescent="0.35">
      <c r="A59" s="199"/>
      <c r="B59" s="199"/>
      <c r="C59" s="199"/>
      <c r="D59" s="199"/>
      <c r="E59" s="199"/>
      <c r="F59" s="199"/>
      <c r="G59" s="199"/>
      <c r="H59" s="199"/>
      <c r="I59" s="199"/>
      <c r="J59" s="199"/>
      <c r="K59" s="199"/>
      <c r="L59" s="199"/>
      <c r="M59" s="199"/>
      <c r="N59" s="199"/>
      <c r="O59" s="199"/>
      <c r="P59" s="14"/>
      <c r="Q59" s="14"/>
      <c r="R59" s="14"/>
      <c r="S59" s="14"/>
      <c r="T59" s="14"/>
      <c r="U59" s="14"/>
      <c r="V59" s="14"/>
    </row>
    <row r="60" spans="1:22" x14ac:dyDescent="0.35">
      <c r="A60" s="199"/>
      <c r="B60" s="199"/>
      <c r="C60" s="199"/>
      <c r="D60" s="199"/>
      <c r="E60" s="199"/>
      <c r="F60" s="199"/>
      <c r="G60" s="199"/>
      <c r="H60" s="199"/>
      <c r="I60" s="199"/>
      <c r="J60" s="199"/>
      <c r="K60" s="199"/>
      <c r="L60" s="199"/>
      <c r="M60" s="199"/>
      <c r="N60" s="199"/>
      <c r="O60" s="199"/>
      <c r="P60" s="14"/>
      <c r="Q60" s="14"/>
      <c r="R60" s="14"/>
      <c r="S60" s="14"/>
      <c r="T60" s="14"/>
      <c r="U60" s="14"/>
      <c r="V60" s="14"/>
    </row>
    <row r="61" spans="1:22" x14ac:dyDescent="0.35">
      <c r="A61" s="199"/>
      <c r="B61" s="199"/>
      <c r="C61" s="199"/>
      <c r="D61" s="199"/>
      <c r="E61" s="199"/>
      <c r="F61" s="199"/>
      <c r="G61" s="199"/>
      <c r="H61" s="199"/>
      <c r="I61" s="199"/>
      <c r="J61" s="199"/>
      <c r="K61" s="199"/>
      <c r="L61" s="199"/>
      <c r="M61" s="199"/>
      <c r="N61" s="199"/>
      <c r="O61" s="199"/>
      <c r="P61" s="14"/>
      <c r="Q61" s="14"/>
      <c r="R61" s="14"/>
      <c r="S61" s="14"/>
      <c r="T61" s="14"/>
      <c r="U61" s="14"/>
      <c r="V61" s="14"/>
    </row>
    <row r="62" spans="1:22" ht="17.25" customHeight="1" x14ac:dyDescent="0.35">
      <c r="A62" s="16"/>
      <c r="B62" s="14"/>
      <c r="C62" s="14"/>
      <c r="D62" s="14"/>
      <c r="E62" s="14"/>
      <c r="F62" s="14"/>
      <c r="G62" s="14"/>
      <c r="H62" s="14"/>
      <c r="I62" s="14"/>
      <c r="J62" s="14"/>
      <c r="K62" s="14"/>
      <c r="L62" s="14"/>
      <c r="M62" s="14"/>
      <c r="N62" s="14"/>
      <c r="O62" s="14"/>
      <c r="P62" s="14"/>
      <c r="Q62" s="14"/>
      <c r="R62" s="14"/>
      <c r="S62" s="14"/>
      <c r="T62" s="14"/>
      <c r="U62" s="14"/>
      <c r="V62" s="14"/>
    </row>
    <row r="63" spans="1:22" x14ac:dyDescent="0.35">
      <c r="A63" s="16"/>
      <c r="B63" s="16"/>
      <c r="C63" s="16"/>
      <c r="D63" s="16"/>
      <c r="E63" s="16"/>
      <c r="F63" s="16"/>
      <c r="G63" s="16"/>
      <c r="H63" s="16"/>
      <c r="I63" s="16"/>
      <c r="J63" s="16"/>
      <c r="K63" s="16"/>
      <c r="L63" s="16"/>
      <c r="M63" s="16"/>
      <c r="N63" s="16"/>
      <c r="O63" s="16"/>
      <c r="P63" s="14"/>
      <c r="Q63" s="14"/>
      <c r="R63" s="14"/>
      <c r="S63" s="14"/>
      <c r="T63" s="14"/>
      <c r="U63" s="14"/>
      <c r="V63" s="14"/>
    </row>
    <row r="64" spans="1:22" ht="15" customHeight="1" x14ac:dyDescent="0.35">
      <c r="A64" s="199"/>
      <c r="B64" s="199"/>
      <c r="C64" s="199"/>
      <c r="D64" s="199"/>
      <c r="E64" s="199"/>
      <c r="F64" s="199"/>
      <c r="G64" s="199"/>
      <c r="H64" s="199"/>
      <c r="I64" s="199"/>
      <c r="J64" s="199"/>
      <c r="K64" s="199"/>
      <c r="L64" s="199"/>
      <c r="M64" s="199"/>
      <c r="N64" s="199"/>
      <c r="O64" s="199"/>
      <c r="P64" s="17"/>
      <c r="Q64" s="17"/>
      <c r="R64" s="14"/>
      <c r="S64" s="14"/>
      <c r="T64" s="14"/>
      <c r="U64" s="14"/>
      <c r="V64" s="14"/>
    </row>
    <row r="65" spans="1:22" x14ac:dyDescent="0.35">
      <c r="A65" s="199"/>
      <c r="B65" s="199"/>
      <c r="C65" s="199"/>
      <c r="D65" s="199"/>
      <c r="E65" s="199"/>
      <c r="F65" s="199"/>
      <c r="G65" s="199"/>
      <c r="H65" s="199"/>
      <c r="I65" s="199"/>
      <c r="J65" s="199"/>
      <c r="K65" s="199"/>
      <c r="L65" s="199"/>
      <c r="M65" s="199"/>
      <c r="N65" s="199"/>
      <c r="O65" s="199"/>
      <c r="P65" s="17"/>
      <c r="Q65" s="17"/>
      <c r="R65" s="14"/>
      <c r="S65" s="14"/>
      <c r="T65" s="14"/>
      <c r="U65" s="14"/>
      <c r="V65" s="14"/>
    </row>
    <row r="66" spans="1:22" x14ac:dyDescent="0.35">
      <c r="A66" s="199"/>
      <c r="B66" s="199"/>
      <c r="C66" s="199"/>
      <c r="D66" s="199"/>
      <c r="E66" s="199"/>
      <c r="F66" s="199"/>
      <c r="G66" s="199"/>
      <c r="H66" s="199"/>
      <c r="I66" s="199"/>
      <c r="J66" s="199"/>
      <c r="K66" s="199"/>
      <c r="L66" s="199"/>
      <c r="M66" s="199"/>
      <c r="N66" s="199"/>
      <c r="O66" s="199"/>
      <c r="P66" s="17"/>
      <c r="Q66" s="17"/>
      <c r="R66" s="14"/>
      <c r="S66" s="14"/>
      <c r="T66" s="14"/>
      <c r="U66" s="14"/>
      <c r="V66" s="14"/>
    </row>
    <row r="67" spans="1:22" x14ac:dyDescent="0.35">
      <c r="A67" s="199"/>
      <c r="B67" s="199"/>
      <c r="C67" s="199"/>
      <c r="D67" s="199"/>
      <c r="E67" s="199"/>
      <c r="F67" s="199"/>
      <c r="G67" s="199"/>
      <c r="H67" s="199"/>
      <c r="I67" s="199"/>
      <c r="J67" s="199"/>
      <c r="K67" s="199"/>
      <c r="L67" s="199"/>
      <c r="M67" s="199"/>
      <c r="N67" s="199"/>
      <c r="O67" s="199"/>
      <c r="P67" s="17"/>
      <c r="Q67" s="17"/>
      <c r="R67" s="14"/>
      <c r="S67" s="14"/>
      <c r="T67" s="14"/>
      <c r="U67" s="14"/>
      <c r="V67" s="14"/>
    </row>
    <row r="68" spans="1:22" x14ac:dyDescent="0.35">
      <c r="A68" s="199"/>
      <c r="B68" s="199"/>
      <c r="C68" s="199"/>
      <c r="D68" s="199"/>
      <c r="E68" s="199"/>
      <c r="F68" s="199"/>
      <c r="G68" s="199"/>
      <c r="H68" s="199"/>
      <c r="I68" s="199"/>
      <c r="J68" s="199"/>
      <c r="K68" s="199"/>
      <c r="L68" s="199"/>
      <c r="M68" s="199"/>
      <c r="N68" s="199"/>
      <c r="O68" s="199"/>
      <c r="P68" s="17"/>
      <c r="Q68" s="17"/>
      <c r="R68" s="14"/>
      <c r="S68" s="14"/>
      <c r="T68" s="14"/>
      <c r="U68" s="14"/>
      <c r="V68" s="14"/>
    </row>
    <row r="69" spans="1:22" x14ac:dyDescent="0.35">
      <c r="A69" s="199"/>
      <c r="B69" s="199"/>
      <c r="C69" s="199"/>
      <c r="D69" s="199"/>
      <c r="E69" s="199"/>
      <c r="F69" s="199"/>
      <c r="G69" s="199"/>
      <c r="H69" s="199"/>
      <c r="I69" s="199"/>
      <c r="J69" s="199"/>
      <c r="K69" s="199"/>
      <c r="L69" s="199"/>
      <c r="M69" s="199"/>
      <c r="N69" s="199"/>
      <c r="O69" s="199"/>
      <c r="P69" s="17"/>
      <c r="Q69" s="17"/>
      <c r="R69" s="14"/>
      <c r="S69" s="14"/>
      <c r="T69" s="14"/>
      <c r="U69" s="14"/>
      <c r="V69" s="14"/>
    </row>
    <row r="70" spans="1:22" x14ac:dyDescent="0.35">
      <c r="A70" s="199"/>
      <c r="B70" s="199"/>
      <c r="C70" s="199"/>
      <c r="D70" s="199"/>
      <c r="E70" s="199"/>
      <c r="F70" s="199"/>
      <c r="G70" s="199"/>
      <c r="H70" s="199"/>
      <c r="I70" s="199"/>
      <c r="J70" s="199"/>
      <c r="K70" s="199"/>
      <c r="L70" s="199"/>
      <c r="M70" s="199"/>
      <c r="N70" s="199"/>
      <c r="O70" s="199"/>
      <c r="P70" s="17"/>
      <c r="Q70" s="17"/>
      <c r="R70" s="14"/>
      <c r="S70" s="14"/>
      <c r="T70" s="14"/>
      <c r="U70" s="14"/>
      <c r="V70" s="14"/>
    </row>
    <row r="71" spans="1:22" x14ac:dyDescent="0.35">
      <c r="A71" s="199"/>
      <c r="B71" s="199"/>
      <c r="C71" s="199"/>
      <c r="D71" s="199"/>
      <c r="E71" s="199"/>
      <c r="F71" s="199"/>
      <c r="G71" s="199"/>
      <c r="H71" s="199"/>
      <c r="I71" s="199"/>
      <c r="J71" s="199"/>
      <c r="K71" s="199"/>
      <c r="L71" s="199"/>
      <c r="M71" s="199"/>
      <c r="N71" s="199"/>
      <c r="O71" s="199"/>
      <c r="P71" s="17"/>
      <c r="Q71" s="17"/>
      <c r="R71" s="14"/>
      <c r="S71" s="14"/>
      <c r="T71" s="14"/>
      <c r="U71" s="14"/>
      <c r="V71" s="14"/>
    </row>
    <row r="72" spans="1:22" x14ac:dyDescent="0.35">
      <c r="A72" s="199"/>
      <c r="B72" s="199"/>
      <c r="C72" s="199"/>
      <c r="D72" s="199"/>
      <c r="E72" s="199"/>
      <c r="F72" s="199"/>
      <c r="G72" s="199"/>
      <c r="H72" s="199"/>
      <c r="I72" s="199"/>
      <c r="J72" s="199"/>
      <c r="K72" s="199"/>
      <c r="L72" s="199"/>
      <c r="M72" s="199"/>
      <c r="N72" s="199"/>
      <c r="O72" s="199"/>
      <c r="P72" s="17"/>
      <c r="Q72" s="17"/>
      <c r="R72" s="14"/>
      <c r="S72" s="14"/>
      <c r="T72" s="14"/>
      <c r="U72" s="14"/>
      <c r="V72" s="14"/>
    </row>
    <row r="73" spans="1:22" x14ac:dyDescent="0.35">
      <c r="A73" s="199"/>
      <c r="B73" s="199"/>
      <c r="C73" s="199"/>
      <c r="D73" s="199"/>
      <c r="E73" s="199"/>
      <c r="F73" s="199"/>
      <c r="G73" s="199"/>
      <c r="H73" s="199"/>
      <c r="I73" s="199"/>
      <c r="J73" s="199"/>
      <c r="K73" s="199"/>
      <c r="L73" s="199"/>
      <c r="M73" s="199"/>
      <c r="N73" s="199"/>
      <c r="O73" s="199"/>
      <c r="P73" s="17"/>
      <c r="Q73" s="17"/>
      <c r="R73" s="14"/>
      <c r="S73" s="14"/>
      <c r="T73" s="14"/>
      <c r="U73" s="14"/>
      <c r="V73" s="14"/>
    </row>
    <row r="74" spans="1:22" x14ac:dyDescent="0.35">
      <c r="A74" s="199"/>
      <c r="B74" s="199"/>
      <c r="C74" s="199"/>
      <c r="D74" s="199"/>
      <c r="E74" s="199"/>
      <c r="F74" s="199"/>
      <c r="G74" s="199"/>
      <c r="H74" s="199"/>
      <c r="I74" s="199"/>
      <c r="J74" s="199"/>
      <c r="K74" s="199"/>
      <c r="L74" s="199"/>
      <c r="M74" s="199"/>
      <c r="N74" s="199"/>
      <c r="O74" s="199"/>
      <c r="P74" s="15" t="s">
        <v>20</v>
      </c>
      <c r="Q74" s="17"/>
      <c r="R74" s="14"/>
      <c r="S74" s="14"/>
      <c r="T74" s="14"/>
      <c r="U74" s="14"/>
      <c r="V74" s="14"/>
    </row>
    <row r="75" spans="1:22" x14ac:dyDescent="0.35">
      <c r="A75" s="199"/>
      <c r="B75" s="199"/>
      <c r="C75" s="199"/>
      <c r="D75" s="199"/>
      <c r="E75" s="199"/>
      <c r="F75" s="199"/>
      <c r="G75" s="199"/>
      <c r="H75" s="199"/>
      <c r="I75" s="199"/>
      <c r="J75" s="199"/>
      <c r="K75" s="199"/>
      <c r="L75" s="199"/>
      <c r="M75" s="199"/>
      <c r="N75" s="199"/>
      <c r="O75" s="199"/>
      <c r="P75" s="17"/>
      <c r="Q75" s="17"/>
      <c r="R75" s="14"/>
      <c r="S75" s="14"/>
      <c r="T75" s="14"/>
      <c r="U75" s="14"/>
      <c r="V75" s="14"/>
    </row>
    <row r="76" spans="1:22" x14ac:dyDescent="0.35">
      <c r="A76" s="199"/>
      <c r="B76" s="199"/>
      <c r="C76" s="199"/>
      <c r="D76" s="199"/>
      <c r="E76" s="199"/>
      <c r="F76" s="199"/>
      <c r="G76" s="199"/>
      <c r="H76" s="199"/>
      <c r="I76" s="199"/>
      <c r="J76" s="199"/>
      <c r="K76" s="199"/>
      <c r="L76" s="199"/>
      <c r="M76" s="199"/>
      <c r="N76" s="199"/>
      <c r="O76" s="199"/>
      <c r="P76" s="17"/>
      <c r="Q76" s="17"/>
      <c r="R76" s="14"/>
      <c r="S76" s="14"/>
      <c r="T76" s="14"/>
      <c r="U76" s="14"/>
      <c r="V76" s="14"/>
    </row>
    <row r="77" spans="1:22" x14ac:dyDescent="0.35">
      <c r="A77" s="199"/>
      <c r="B77" s="199"/>
      <c r="C77" s="199"/>
      <c r="D77" s="199"/>
      <c r="E77" s="199"/>
      <c r="F77" s="199"/>
      <c r="G77" s="199"/>
      <c r="H77" s="199"/>
      <c r="I77" s="199"/>
      <c r="J77" s="199"/>
      <c r="K77" s="199"/>
      <c r="L77" s="199"/>
      <c r="M77" s="199"/>
      <c r="N77" s="199"/>
      <c r="O77" s="199"/>
      <c r="P77" s="17"/>
      <c r="Q77" s="17"/>
      <c r="R77" s="14"/>
      <c r="S77" s="14"/>
      <c r="T77" s="14"/>
      <c r="U77" s="14"/>
      <c r="V77" s="14"/>
    </row>
    <row r="78" spans="1:22" x14ac:dyDescent="0.35">
      <c r="A78" s="199"/>
      <c r="B78" s="199"/>
      <c r="C78" s="199"/>
      <c r="D78" s="199"/>
      <c r="E78" s="199"/>
      <c r="F78" s="199"/>
      <c r="G78" s="199"/>
      <c r="H78" s="199"/>
      <c r="I78" s="199"/>
      <c r="J78" s="199"/>
      <c r="K78" s="199"/>
      <c r="L78" s="199"/>
      <c r="M78" s="199"/>
      <c r="N78" s="199"/>
      <c r="O78" s="199"/>
      <c r="P78" s="17"/>
      <c r="Q78" s="17"/>
      <c r="R78" s="14"/>
      <c r="S78" s="14"/>
      <c r="T78" s="14"/>
      <c r="U78" s="14"/>
      <c r="V78" s="14"/>
    </row>
    <row r="79" spans="1:22" x14ac:dyDescent="0.35">
      <c r="A79" s="199"/>
      <c r="B79" s="199"/>
      <c r="C79" s="199"/>
      <c r="D79" s="199"/>
      <c r="E79" s="199"/>
      <c r="F79" s="199"/>
      <c r="G79" s="199"/>
      <c r="H79" s="199"/>
      <c r="I79" s="199"/>
      <c r="J79" s="199"/>
      <c r="K79" s="199"/>
      <c r="L79" s="199"/>
      <c r="M79" s="199"/>
      <c r="N79" s="199"/>
      <c r="O79" s="199"/>
      <c r="P79" s="17"/>
      <c r="Q79" s="17"/>
      <c r="R79" s="14"/>
      <c r="S79" s="14"/>
      <c r="T79" s="14"/>
      <c r="U79" s="14"/>
      <c r="V79" s="14"/>
    </row>
    <row r="80" spans="1:22" x14ac:dyDescent="0.35">
      <c r="A80" s="199"/>
      <c r="B80" s="199"/>
      <c r="C80" s="199"/>
      <c r="D80" s="199"/>
      <c r="E80" s="199"/>
      <c r="F80" s="199"/>
      <c r="G80" s="199"/>
      <c r="H80" s="199"/>
      <c r="I80" s="199"/>
      <c r="J80" s="199"/>
      <c r="K80" s="199"/>
      <c r="L80" s="199"/>
      <c r="M80" s="199"/>
      <c r="N80" s="199"/>
      <c r="O80" s="199"/>
      <c r="P80" s="17"/>
      <c r="Q80" s="17"/>
      <c r="R80" s="14"/>
      <c r="S80" s="14"/>
      <c r="T80" s="14"/>
      <c r="U80" s="14"/>
      <c r="V80" s="14"/>
    </row>
    <row r="81" spans="1:22" x14ac:dyDescent="0.35">
      <c r="A81" s="199"/>
      <c r="B81" s="199"/>
      <c r="C81" s="199"/>
      <c r="D81" s="199"/>
      <c r="E81" s="199"/>
      <c r="F81" s="199"/>
      <c r="G81" s="199"/>
      <c r="H81" s="199"/>
      <c r="I81" s="199"/>
      <c r="J81" s="199"/>
      <c r="K81" s="199"/>
      <c r="L81" s="199"/>
      <c r="M81" s="199"/>
      <c r="N81" s="199"/>
      <c r="O81" s="199"/>
      <c r="P81" s="17"/>
      <c r="Q81" s="17"/>
      <c r="R81" s="14"/>
      <c r="S81" s="14"/>
      <c r="T81" s="14"/>
      <c r="U81" s="14"/>
      <c r="V81" s="14"/>
    </row>
    <row r="82" spans="1:22" x14ac:dyDescent="0.35">
      <c r="A82" s="199"/>
      <c r="B82" s="199"/>
      <c r="C82" s="199"/>
      <c r="D82" s="199"/>
      <c r="E82" s="199"/>
      <c r="F82" s="199"/>
      <c r="G82" s="199"/>
      <c r="H82" s="199"/>
      <c r="I82" s="199"/>
      <c r="J82" s="199"/>
      <c r="K82" s="199"/>
      <c r="L82" s="199"/>
      <c r="M82" s="199"/>
      <c r="N82" s="199"/>
      <c r="O82" s="199"/>
      <c r="P82" s="17"/>
      <c r="Q82" s="17"/>
      <c r="R82" s="14"/>
      <c r="S82" s="14"/>
      <c r="T82" s="14"/>
      <c r="U82" s="14"/>
      <c r="V82" s="14"/>
    </row>
    <row r="83" spans="1:22" x14ac:dyDescent="0.35">
      <c r="A83" s="199"/>
      <c r="B83" s="199"/>
      <c r="C83" s="199"/>
      <c r="D83" s="199"/>
      <c r="E83" s="199"/>
      <c r="F83" s="199"/>
      <c r="G83" s="199"/>
      <c r="H83" s="199"/>
      <c r="I83" s="199"/>
      <c r="J83" s="199"/>
      <c r="K83" s="199"/>
      <c r="L83" s="199"/>
      <c r="M83" s="199"/>
      <c r="N83" s="199"/>
      <c r="O83" s="199"/>
      <c r="P83" s="17"/>
      <c r="Q83" s="17"/>
      <c r="R83" s="14"/>
      <c r="S83" s="14"/>
      <c r="T83" s="14"/>
      <c r="U83" s="14"/>
      <c r="V83" s="14"/>
    </row>
    <row r="84" spans="1:22" x14ac:dyDescent="0.35">
      <c r="A84" s="199"/>
      <c r="B84" s="199"/>
      <c r="C84" s="199"/>
      <c r="D84" s="199"/>
      <c r="E84" s="199"/>
      <c r="F84" s="199"/>
      <c r="G84" s="199"/>
      <c r="H84" s="199"/>
      <c r="I84" s="199"/>
      <c r="J84" s="199"/>
      <c r="K84" s="199"/>
      <c r="L84" s="199"/>
      <c r="M84" s="199"/>
      <c r="N84" s="199"/>
      <c r="O84" s="199"/>
      <c r="P84" s="17"/>
      <c r="Q84" s="17"/>
      <c r="R84" s="14"/>
      <c r="S84" s="14"/>
      <c r="T84" s="14"/>
      <c r="U84" s="14"/>
      <c r="V84" s="14"/>
    </row>
    <row r="85" spans="1:22" x14ac:dyDescent="0.35">
      <c r="A85" s="199"/>
      <c r="B85" s="199"/>
      <c r="C85" s="199"/>
      <c r="D85" s="199"/>
      <c r="E85" s="199"/>
      <c r="F85" s="199"/>
      <c r="G85" s="199"/>
      <c r="H85" s="199"/>
      <c r="I85" s="199"/>
      <c r="J85" s="199"/>
      <c r="K85" s="199"/>
      <c r="L85" s="199"/>
      <c r="M85" s="199"/>
      <c r="N85" s="199"/>
      <c r="O85" s="199"/>
      <c r="P85" s="17"/>
      <c r="Q85" s="17"/>
      <c r="R85" s="14"/>
      <c r="S85" s="14"/>
      <c r="T85" s="14"/>
      <c r="U85" s="14"/>
      <c r="V85" s="14"/>
    </row>
    <row r="86" spans="1:22" x14ac:dyDescent="0.35">
      <c r="A86" s="199"/>
      <c r="B86" s="199"/>
      <c r="C86" s="199"/>
      <c r="D86" s="199"/>
      <c r="E86" s="199"/>
      <c r="F86" s="199"/>
      <c r="G86" s="199"/>
      <c r="H86" s="199"/>
      <c r="I86" s="199"/>
      <c r="J86" s="199"/>
      <c r="K86" s="199"/>
      <c r="L86" s="199"/>
      <c r="M86" s="199"/>
      <c r="N86" s="199"/>
      <c r="O86" s="199"/>
      <c r="P86" s="17"/>
      <c r="Q86" s="17"/>
      <c r="R86" s="14"/>
      <c r="S86" s="14"/>
      <c r="T86" s="14"/>
      <c r="U86" s="14"/>
      <c r="V86" s="14"/>
    </row>
    <row r="87" spans="1:22" x14ac:dyDescent="0.35">
      <c r="A87" s="19"/>
      <c r="B87" s="19"/>
      <c r="C87" s="19"/>
      <c r="D87" s="19"/>
      <c r="E87" s="19"/>
      <c r="F87" s="19"/>
      <c r="G87" s="19"/>
      <c r="H87" s="19"/>
      <c r="I87" s="19"/>
      <c r="J87" s="19"/>
      <c r="K87" s="19"/>
      <c r="L87" s="19"/>
      <c r="M87" s="19"/>
      <c r="N87" s="19"/>
      <c r="O87" s="19"/>
      <c r="P87" s="17"/>
      <c r="Q87" s="17"/>
      <c r="R87" s="14"/>
      <c r="S87" s="14"/>
      <c r="T87" s="14"/>
      <c r="U87" s="14"/>
      <c r="V87" s="14"/>
    </row>
    <row r="88" spans="1:22" x14ac:dyDescent="0.35">
      <c r="A88" s="17"/>
      <c r="B88" s="17"/>
      <c r="C88" s="17"/>
      <c r="D88" s="17"/>
      <c r="E88" s="17"/>
      <c r="F88" s="17"/>
      <c r="G88" s="17"/>
      <c r="H88" s="17"/>
      <c r="I88" s="17"/>
      <c r="J88" s="17"/>
      <c r="K88" s="17"/>
      <c r="L88" s="17"/>
      <c r="M88" s="17"/>
      <c r="N88" s="17"/>
      <c r="O88" s="17"/>
      <c r="P88" s="17"/>
      <c r="Q88" s="17"/>
      <c r="R88" s="14"/>
      <c r="S88" s="14"/>
      <c r="T88" s="14"/>
      <c r="U88" s="14"/>
      <c r="V88" s="14"/>
    </row>
    <row r="89" spans="1:22" x14ac:dyDescent="0.35">
      <c r="A89" s="198"/>
      <c r="B89" s="198"/>
      <c r="C89" s="198"/>
      <c r="D89" s="198"/>
      <c r="E89" s="198"/>
      <c r="F89" s="198"/>
      <c r="G89" s="198"/>
      <c r="H89" s="198"/>
      <c r="I89" s="198"/>
      <c r="J89" s="198"/>
      <c r="K89" s="198"/>
      <c r="L89" s="198"/>
      <c r="M89" s="198"/>
      <c r="N89" s="198"/>
      <c r="O89" s="198"/>
      <c r="P89" s="17"/>
      <c r="Q89" s="17"/>
      <c r="R89" s="14"/>
      <c r="S89" s="14"/>
      <c r="T89" s="14"/>
      <c r="U89" s="14"/>
      <c r="V89" s="14"/>
    </row>
    <row r="90" spans="1:22" ht="15.75" customHeight="1" x14ac:dyDescent="0.35">
      <c r="A90" s="199"/>
      <c r="B90" s="199"/>
      <c r="C90" s="199"/>
      <c r="D90" s="199"/>
      <c r="E90" s="199"/>
      <c r="F90" s="199"/>
      <c r="G90" s="199"/>
      <c r="H90" s="199"/>
      <c r="I90" s="199"/>
      <c r="J90" s="199"/>
      <c r="K90" s="199"/>
      <c r="L90" s="199"/>
      <c r="M90" s="199"/>
      <c r="N90" s="199"/>
      <c r="O90" s="199"/>
      <c r="P90" s="17"/>
      <c r="Q90" s="17"/>
      <c r="R90" s="14"/>
      <c r="S90" s="14"/>
      <c r="T90" s="14"/>
      <c r="U90" s="14"/>
      <c r="V90" s="14"/>
    </row>
    <row r="91" spans="1:22" ht="15" customHeight="1" x14ac:dyDescent="0.35">
      <c r="A91" s="199"/>
      <c r="B91" s="199"/>
      <c r="C91" s="199"/>
      <c r="D91" s="199"/>
      <c r="E91" s="199"/>
      <c r="F91" s="199"/>
      <c r="G91" s="199"/>
      <c r="H91" s="199"/>
      <c r="I91" s="199"/>
      <c r="J91" s="199"/>
      <c r="K91" s="199"/>
      <c r="L91" s="199"/>
      <c r="M91" s="199"/>
      <c r="N91" s="199"/>
      <c r="O91" s="199"/>
      <c r="P91" s="14"/>
      <c r="Q91" s="14"/>
      <c r="R91" s="14"/>
      <c r="S91" s="14"/>
      <c r="T91" s="14"/>
      <c r="U91" s="14"/>
      <c r="V91" s="14"/>
    </row>
    <row r="92" spans="1:22" ht="15" customHeight="1" x14ac:dyDescent="0.35">
      <c r="A92" s="199"/>
      <c r="B92" s="199"/>
      <c r="C92" s="199"/>
      <c r="D92" s="199"/>
      <c r="E92" s="199"/>
      <c r="F92" s="199"/>
      <c r="G92" s="199"/>
      <c r="H92" s="199"/>
      <c r="I92" s="199"/>
      <c r="J92" s="199"/>
      <c r="K92" s="199"/>
      <c r="L92" s="199"/>
      <c r="M92" s="199"/>
      <c r="N92" s="199"/>
      <c r="O92" s="199"/>
      <c r="P92" s="14"/>
      <c r="Q92" s="14"/>
      <c r="R92" s="14"/>
      <c r="S92" s="14"/>
      <c r="T92" s="14"/>
      <c r="U92" s="14"/>
      <c r="V92" s="14"/>
    </row>
    <row r="93" spans="1:22" ht="15" customHeight="1" x14ac:dyDescent="0.35">
      <c r="A93" s="199"/>
      <c r="B93" s="199"/>
      <c r="C93" s="199"/>
      <c r="D93" s="199"/>
      <c r="E93" s="199"/>
      <c r="F93" s="199"/>
      <c r="G93" s="199"/>
      <c r="H93" s="199"/>
      <c r="I93" s="199"/>
      <c r="J93" s="199"/>
      <c r="K93" s="199"/>
      <c r="L93" s="199"/>
      <c r="M93" s="199"/>
      <c r="N93" s="199"/>
      <c r="O93" s="199"/>
      <c r="P93" s="14"/>
      <c r="Q93" s="14"/>
      <c r="R93" s="14"/>
      <c r="S93" s="14"/>
      <c r="T93" s="14"/>
      <c r="U93" s="14"/>
      <c r="V93" s="14"/>
    </row>
    <row r="94" spans="1:22" ht="15" customHeight="1" x14ac:dyDescent="0.35">
      <c r="A94" s="199"/>
      <c r="B94" s="199"/>
      <c r="C94" s="199"/>
      <c r="D94" s="199"/>
      <c r="E94" s="199"/>
      <c r="F94" s="199"/>
      <c r="G94" s="199"/>
      <c r="H94" s="199"/>
      <c r="I94" s="199"/>
      <c r="J94" s="199"/>
      <c r="K94" s="199"/>
      <c r="L94" s="199"/>
      <c r="M94" s="199"/>
      <c r="N94" s="199"/>
      <c r="O94" s="199"/>
      <c r="P94" s="14"/>
      <c r="Q94" s="14"/>
      <c r="R94" s="14"/>
      <c r="S94" s="14"/>
      <c r="T94" s="14"/>
      <c r="U94" s="14"/>
      <c r="V94" s="14"/>
    </row>
    <row r="95" spans="1:22" ht="15" customHeight="1" x14ac:dyDescent="0.35">
      <c r="A95" s="199"/>
      <c r="B95" s="199"/>
      <c r="C95" s="199"/>
      <c r="D95" s="199"/>
      <c r="E95" s="199"/>
      <c r="F95" s="199"/>
      <c r="G95" s="199"/>
      <c r="H95" s="199"/>
      <c r="I95" s="199"/>
      <c r="J95" s="199"/>
      <c r="K95" s="199"/>
      <c r="L95" s="199"/>
      <c r="M95" s="199"/>
      <c r="N95" s="199"/>
      <c r="O95" s="199"/>
      <c r="P95" s="14"/>
      <c r="Q95" s="14"/>
      <c r="R95" s="14"/>
      <c r="S95" s="14"/>
      <c r="T95" s="14"/>
      <c r="U95" s="14"/>
      <c r="V95" s="14"/>
    </row>
    <row r="96" spans="1:22" ht="15" customHeight="1" x14ac:dyDescent="0.35">
      <c r="A96" s="199"/>
      <c r="B96" s="199"/>
      <c r="C96" s="199"/>
      <c r="D96" s="199"/>
      <c r="E96" s="199"/>
      <c r="F96" s="199"/>
      <c r="G96" s="199"/>
      <c r="H96" s="199"/>
      <c r="I96" s="199"/>
      <c r="J96" s="199"/>
      <c r="K96" s="199"/>
      <c r="L96" s="199"/>
      <c r="M96" s="199"/>
      <c r="N96" s="199"/>
      <c r="O96" s="199"/>
      <c r="P96" s="14"/>
      <c r="Q96" s="14"/>
      <c r="R96" s="14"/>
      <c r="S96" s="14"/>
      <c r="T96" s="14"/>
      <c r="U96" s="14"/>
      <c r="V96" s="14"/>
    </row>
    <row r="97" spans="1:22" ht="15" customHeight="1" x14ac:dyDescent="0.35">
      <c r="A97" s="199"/>
      <c r="B97" s="199"/>
      <c r="C97" s="199"/>
      <c r="D97" s="199"/>
      <c r="E97" s="199"/>
      <c r="F97" s="199"/>
      <c r="G97" s="199"/>
      <c r="H97" s="199"/>
      <c r="I97" s="199"/>
      <c r="J97" s="199"/>
      <c r="K97" s="199"/>
      <c r="L97" s="199"/>
      <c r="M97" s="199"/>
      <c r="N97" s="199"/>
      <c r="O97" s="199"/>
      <c r="P97" s="14"/>
      <c r="Q97" s="14"/>
      <c r="R97" s="14"/>
      <c r="S97" s="14"/>
      <c r="T97" s="14"/>
      <c r="U97" s="14"/>
      <c r="V97" s="14"/>
    </row>
    <row r="98" spans="1:22" ht="15" customHeight="1" x14ac:dyDescent="0.35">
      <c r="A98" s="199"/>
      <c r="B98" s="199"/>
      <c r="C98" s="199"/>
      <c r="D98" s="199"/>
      <c r="E98" s="199"/>
      <c r="F98" s="199"/>
      <c r="G98" s="199"/>
      <c r="H98" s="199"/>
      <c r="I98" s="199"/>
      <c r="J98" s="199"/>
      <c r="K98" s="199"/>
      <c r="L98" s="199"/>
      <c r="M98" s="199"/>
      <c r="N98" s="199"/>
      <c r="O98" s="199"/>
      <c r="P98" s="14"/>
      <c r="Q98" s="14"/>
      <c r="R98" s="14"/>
      <c r="S98" s="14"/>
      <c r="T98" s="14"/>
      <c r="U98" s="14"/>
      <c r="V98" s="14"/>
    </row>
    <row r="99" spans="1:22" ht="15" customHeight="1" x14ac:dyDescent="0.35">
      <c r="A99" s="199"/>
      <c r="B99" s="199"/>
      <c r="C99" s="199"/>
      <c r="D99" s="199"/>
      <c r="E99" s="199"/>
      <c r="F99" s="199"/>
      <c r="G99" s="199"/>
      <c r="H99" s="199"/>
      <c r="I99" s="199"/>
      <c r="J99" s="199"/>
      <c r="K99" s="199"/>
      <c r="L99" s="199"/>
      <c r="M99" s="199"/>
      <c r="N99" s="199"/>
      <c r="O99" s="199"/>
      <c r="P99" s="14"/>
      <c r="Q99" s="14"/>
      <c r="R99" s="14"/>
      <c r="S99" s="14"/>
      <c r="T99" s="14"/>
      <c r="U99" s="14"/>
      <c r="V99" s="14"/>
    </row>
    <row r="100" spans="1:22" ht="15" customHeight="1" x14ac:dyDescent="0.35">
      <c r="A100" s="199"/>
      <c r="B100" s="199"/>
      <c r="C100" s="199"/>
      <c r="D100" s="199"/>
      <c r="E100" s="199"/>
      <c r="F100" s="199"/>
      <c r="G100" s="199"/>
      <c r="H100" s="199"/>
      <c r="I100" s="199"/>
      <c r="J100" s="199"/>
      <c r="K100" s="199"/>
      <c r="L100" s="199"/>
      <c r="M100" s="199"/>
      <c r="N100" s="199"/>
      <c r="O100" s="199"/>
      <c r="P100" s="14"/>
      <c r="Q100" s="14"/>
      <c r="R100" s="14"/>
      <c r="S100" s="14"/>
      <c r="T100" s="14"/>
      <c r="U100" s="14"/>
      <c r="V100" s="14"/>
    </row>
    <row r="101" spans="1:22" ht="15" customHeight="1" x14ac:dyDescent="0.35">
      <c r="A101" s="19"/>
      <c r="B101" s="19"/>
      <c r="C101" s="19"/>
      <c r="D101" s="19"/>
      <c r="E101" s="19"/>
      <c r="F101" s="19"/>
      <c r="G101" s="19"/>
      <c r="H101" s="19"/>
      <c r="I101" s="19"/>
      <c r="J101" s="19"/>
      <c r="K101" s="19"/>
      <c r="L101" s="19"/>
      <c r="M101" s="19"/>
      <c r="N101" s="19"/>
      <c r="O101" s="14"/>
      <c r="P101" s="14"/>
      <c r="Q101" s="14"/>
      <c r="R101" s="14"/>
      <c r="S101" s="14"/>
      <c r="T101" s="14"/>
      <c r="U101" s="14"/>
      <c r="V101" s="14"/>
    </row>
    <row r="102" spans="1:22" ht="15.5" x14ac:dyDescent="0.35">
      <c r="A102" s="20"/>
      <c r="B102" s="20"/>
      <c r="C102" s="20"/>
      <c r="D102" s="20"/>
      <c r="E102" s="20"/>
      <c r="F102" s="20"/>
      <c r="G102" s="20"/>
      <c r="H102" s="20"/>
      <c r="I102" s="20"/>
      <c r="J102" s="20"/>
      <c r="K102" s="20"/>
      <c r="L102" s="20"/>
      <c r="M102" s="20"/>
      <c r="N102" s="20"/>
      <c r="O102" s="14"/>
      <c r="P102" s="14"/>
      <c r="Q102" s="14"/>
      <c r="R102" s="14"/>
      <c r="S102" s="14"/>
      <c r="T102" s="14"/>
      <c r="U102" s="14"/>
      <c r="V102" s="14"/>
    </row>
    <row r="103" spans="1:22" ht="15" customHeight="1" x14ac:dyDescent="0.35">
      <c r="A103" s="196"/>
      <c r="B103" s="196"/>
      <c r="C103" s="196"/>
      <c r="D103" s="196"/>
      <c r="E103" s="196"/>
      <c r="F103" s="196"/>
      <c r="G103" s="196"/>
      <c r="H103" s="196"/>
      <c r="I103" s="196"/>
      <c r="J103" s="196"/>
      <c r="K103" s="196"/>
      <c r="L103" s="196"/>
      <c r="M103" s="196"/>
      <c r="N103" s="196"/>
      <c r="O103" s="196"/>
      <c r="P103" s="14"/>
      <c r="Q103" s="14"/>
      <c r="R103" s="14"/>
      <c r="S103" s="14"/>
      <c r="T103" s="14"/>
      <c r="U103" s="14"/>
      <c r="V103" s="14"/>
    </row>
    <row r="104" spans="1:22" x14ac:dyDescent="0.35">
      <c r="A104" s="196"/>
      <c r="B104" s="196"/>
      <c r="C104" s="196"/>
      <c r="D104" s="196"/>
      <c r="E104" s="196"/>
      <c r="F104" s="196"/>
      <c r="G104" s="196"/>
      <c r="H104" s="196"/>
      <c r="I104" s="196"/>
      <c r="J104" s="196"/>
      <c r="K104" s="196"/>
      <c r="L104" s="196"/>
      <c r="M104" s="196"/>
      <c r="N104" s="196"/>
      <c r="O104" s="196"/>
      <c r="P104" s="14"/>
      <c r="Q104" s="14"/>
      <c r="R104" s="14"/>
      <c r="S104" s="14"/>
      <c r="T104" s="14"/>
      <c r="U104" s="14"/>
      <c r="V104" s="14"/>
    </row>
    <row r="105" spans="1:22" x14ac:dyDescent="0.35">
      <c r="A105" s="196"/>
      <c r="B105" s="196"/>
      <c r="C105" s="196"/>
      <c r="D105" s="196"/>
      <c r="E105" s="196"/>
      <c r="F105" s="196"/>
      <c r="G105" s="196"/>
      <c r="H105" s="196"/>
      <c r="I105" s="196"/>
      <c r="J105" s="196"/>
      <c r="K105" s="196"/>
      <c r="L105" s="196"/>
      <c r="M105" s="196"/>
      <c r="N105" s="196"/>
      <c r="O105" s="196"/>
      <c r="P105" s="14"/>
      <c r="Q105" s="14"/>
      <c r="R105" s="14"/>
      <c r="S105" s="14"/>
      <c r="T105" s="14"/>
      <c r="U105" s="14"/>
      <c r="V105" s="14"/>
    </row>
    <row r="106" spans="1:22" x14ac:dyDescent="0.35">
      <c r="A106" s="196"/>
      <c r="B106" s="196"/>
      <c r="C106" s="196"/>
      <c r="D106" s="196"/>
      <c r="E106" s="196"/>
      <c r="F106" s="196"/>
      <c r="G106" s="196"/>
      <c r="H106" s="196"/>
      <c r="I106" s="196"/>
      <c r="J106" s="196"/>
      <c r="K106" s="196"/>
      <c r="L106" s="196"/>
      <c r="M106" s="196"/>
      <c r="N106" s="196"/>
      <c r="O106" s="196"/>
      <c r="P106" s="14"/>
      <c r="Q106" s="14"/>
      <c r="R106" s="14"/>
      <c r="S106" s="14"/>
      <c r="T106" s="14"/>
      <c r="U106" s="14"/>
      <c r="V106" s="14"/>
    </row>
    <row r="107" spans="1:22" x14ac:dyDescent="0.35">
      <c r="A107" s="196"/>
      <c r="B107" s="196"/>
      <c r="C107" s="196"/>
      <c r="D107" s="196"/>
      <c r="E107" s="196"/>
      <c r="F107" s="196"/>
      <c r="G107" s="196"/>
      <c r="H107" s="196"/>
      <c r="I107" s="196"/>
      <c r="J107" s="196"/>
      <c r="K107" s="196"/>
      <c r="L107" s="196"/>
      <c r="M107" s="196"/>
      <c r="N107" s="196"/>
      <c r="O107" s="196"/>
      <c r="P107" s="14"/>
      <c r="Q107" s="14"/>
      <c r="R107" s="14"/>
      <c r="S107" s="14"/>
      <c r="T107" s="14"/>
      <c r="U107" s="14"/>
      <c r="V107" s="14"/>
    </row>
    <row r="108" spans="1:22" x14ac:dyDescent="0.35">
      <c r="A108" s="21"/>
      <c r="B108" s="21"/>
      <c r="C108" s="21"/>
      <c r="D108" s="21"/>
      <c r="E108" s="21"/>
      <c r="F108" s="21"/>
      <c r="G108" s="21"/>
      <c r="H108" s="21"/>
      <c r="I108" s="21"/>
      <c r="J108" s="21"/>
      <c r="K108" s="21"/>
      <c r="L108" s="21"/>
      <c r="M108" s="21"/>
      <c r="N108" s="21"/>
      <c r="O108" s="21"/>
      <c r="P108" s="14"/>
      <c r="Q108" s="14"/>
      <c r="R108" s="14"/>
      <c r="S108" s="14"/>
      <c r="T108" s="14"/>
      <c r="U108" s="14"/>
      <c r="V108" s="14"/>
    </row>
    <row r="109" spans="1:22" x14ac:dyDescent="0.35">
      <c r="A109" s="22"/>
      <c r="B109" s="22"/>
      <c r="C109" s="22"/>
      <c r="D109" s="22"/>
      <c r="E109" s="22"/>
      <c r="F109" s="22"/>
      <c r="G109" s="22"/>
      <c r="H109" s="22"/>
      <c r="I109" s="22"/>
      <c r="J109" s="22"/>
      <c r="K109" s="22"/>
      <c r="L109" s="22"/>
      <c r="M109" s="17"/>
      <c r="N109" s="17"/>
      <c r="O109" s="14"/>
      <c r="P109" s="14"/>
      <c r="Q109" s="14"/>
      <c r="R109" s="14"/>
      <c r="S109" s="14"/>
      <c r="T109" s="14"/>
      <c r="U109" s="14"/>
      <c r="V109" s="14"/>
    </row>
    <row r="110" spans="1:22" x14ac:dyDescent="0.35">
      <c r="A110" s="201"/>
      <c r="B110" s="201"/>
      <c r="C110" s="201"/>
      <c r="D110" s="201"/>
      <c r="E110" s="201"/>
      <c r="F110" s="201"/>
      <c r="G110" s="201"/>
      <c r="H110" s="201"/>
      <c r="I110" s="201"/>
      <c r="J110" s="201"/>
      <c r="K110" s="201"/>
      <c r="L110" s="201"/>
      <c r="M110" s="201"/>
      <c r="N110" s="201"/>
      <c r="O110" s="201"/>
      <c r="P110" s="14"/>
      <c r="Q110" s="14"/>
      <c r="R110" s="14"/>
      <c r="S110" s="14"/>
      <c r="T110" s="14"/>
      <c r="U110" s="14"/>
      <c r="V110" s="14"/>
    </row>
    <row r="111" spans="1:22" x14ac:dyDescent="0.35">
      <c r="A111" s="201"/>
      <c r="B111" s="201"/>
      <c r="C111" s="201"/>
      <c r="D111" s="201"/>
      <c r="E111" s="201"/>
      <c r="F111" s="201"/>
      <c r="G111" s="201"/>
      <c r="H111" s="201"/>
      <c r="I111" s="201"/>
      <c r="J111" s="201"/>
      <c r="K111" s="201"/>
      <c r="L111" s="201"/>
      <c r="M111" s="201"/>
      <c r="N111" s="201"/>
      <c r="O111" s="201"/>
      <c r="P111" s="14"/>
      <c r="Q111" s="14"/>
      <c r="R111" s="14"/>
      <c r="S111" s="14"/>
      <c r="T111" s="14"/>
      <c r="U111" s="14"/>
      <c r="V111" s="14"/>
    </row>
    <row r="112" spans="1:22" x14ac:dyDescent="0.35">
      <c r="A112" s="201"/>
      <c r="B112" s="201"/>
      <c r="C112" s="201"/>
      <c r="D112" s="201"/>
      <c r="E112" s="201"/>
      <c r="F112" s="201"/>
      <c r="G112" s="201"/>
      <c r="H112" s="201"/>
      <c r="I112" s="201"/>
      <c r="J112" s="201"/>
      <c r="K112" s="201"/>
      <c r="L112" s="201"/>
      <c r="M112" s="201"/>
      <c r="N112" s="201"/>
      <c r="O112" s="201"/>
      <c r="P112" s="14"/>
      <c r="Q112" s="14"/>
      <c r="R112" s="14"/>
      <c r="S112" s="14"/>
      <c r="T112" s="14"/>
      <c r="U112" s="14"/>
      <c r="V112" s="14"/>
    </row>
    <row r="113" spans="1:22" x14ac:dyDescent="0.35">
      <c r="A113" s="201"/>
      <c r="B113" s="201"/>
      <c r="C113" s="201"/>
      <c r="D113" s="201"/>
      <c r="E113" s="201"/>
      <c r="F113" s="201"/>
      <c r="G113" s="201"/>
      <c r="H113" s="201"/>
      <c r="I113" s="201"/>
      <c r="J113" s="201"/>
      <c r="K113" s="201"/>
      <c r="L113" s="201"/>
      <c r="M113" s="201"/>
      <c r="N113" s="201"/>
      <c r="O113" s="201"/>
      <c r="P113" s="14"/>
      <c r="Q113" s="14"/>
      <c r="R113" s="14"/>
      <c r="S113" s="14"/>
      <c r="T113" s="14"/>
      <c r="U113" s="14"/>
      <c r="V113" s="14"/>
    </row>
    <row r="114" spans="1:22" x14ac:dyDescent="0.35">
      <c r="A114" s="201"/>
      <c r="B114" s="201"/>
      <c r="C114" s="201"/>
      <c r="D114" s="201"/>
      <c r="E114" s="201"/>
      <c r="F114" s="201"/>
      <c r="G114" s="201"/>
      <c r="H114" s="201"/>
      <c r="I114" s="201"/>
      <c r="J114" s="201"/>
      <c r="K114" s="201"/>
      <c r="L114" s="201"/>
      <c r="M114" s="201"/>
      <c r="N114" s="201"/>
      <c r="O114" s="201"/>
      <c r="P114" s="14"/>
      <c r="Q114" s="14"/>
      <c r="R114" s="14"/>
      <c r="S114" s="14"/>
      <c r="T114" s="14"/>
      <c r="U114" s="14"/>
      <c r="V114" s="14"/>
    </row>
    <row r="115" spans="1:22" x14ac:dyDescent="0.35">
      <c r="A115" s="201"/>
      <c r="B115" s="201"/>
      <c r="C115" s="201"/>
      <c r="D115" s="201"/>
      <c r="E115" s="201"/>
      <c r="F115" s="201"/>
      <c r="G115" s="201"/>
      <c r="H115" s="201"/>
      <c r="I115" s="201"/>
      <c r="J115" s="201"/>
      <c r="K115" s="201"/>
      <c r="L115" s="201"/>
      <c r="M115" s="201"/>
      <c r="N115" s="201"/>
      <c r="O115" s="201"/>
      <c r="P115" s="14"/>
      <c r="Q115" s="14"/>
      <c r="R115" s="14"/>
      <c r="S115" s="14"/>
      <c r="T115" s="14"/>
      <c r="U115" s="14"/>
      <c r="V115" s="14"/>
    </row>
    <row r="116" spans="1:22" x14ac:dyDescent="0.35">
      <c r="A116" s="201"/>
      <c r="B116" s="201"/>
      <c r="C116" s="201"/>
      <c r="D116" s="201"/>
      <c r="E116" s="201"/>
      <c r="F116" s="201"/>
      <c r="G116" s="201"/>
      <c r="H116" s="201"/>
      <c r="I116" s="201"/>
      <c r="J116" s="201"/>
      <c r="K116" s="201"/>
      <c r="L116" s="201"/>
      <c r="M116" s="201"/>
      <c r="N116" s="201"/>
      <c r="O116" s="201"/>
      <c r="P116" s="14"/>
      <c r="Q116" s="14"/>
      <c r="R116" s="14"/>
      <c r="S116" s="14"/>
      <c r="T116" s="14"/>
      <c r="U116" s="14"/>
      <c r="V116" s="14"/>
    </row>
    <row r="117" spans="1:22" x14ac:dyDescent="0.35">
      <c r="A117" s="201"/>
      <c r="B117" s="201"/>
      <c r="C117" s="201"/>
      <c r="D117" s="201"/>
      <c r="E117" s="201"/>
      <c r="F117" s="201"/>
      <c r="G117" s="201"/>
      <c r="H117" s="201"/>
      <c r="I117" s="201"/>
      <c r="J117" s="201"/>
      <c r="K117" s="201"/>
      <c r="L117" s="201"/>
      <c r="M117" s="201"/>
      <c r="N117" s="201"/>
      <c r="O117" s="201"/>
      <c r="P117" s="14"/>
      <c r="Q117" s="14"/>
      <c r="R117" s="14"/>
      <c r="S117" s="14"/>
      <c r="T117" s="14"/>
      <c r="U117" s="14"/>
      <c r="V117" s="14"/>
    </row>
    <row r="118" spans="1:22" x14ac:dyDescent="0.35">
      <c r="A118" s="201"/>
      <c r="B118" s="201"/>
      <c r="C118" s="201"/>
      <c r="D118" s="201"/>
      <c r="E118" s="201"/>
      <c r="F118" s="201"/>
      <c r="G118" s="201"/>
      <c r="H118" s="201"/>
      <c r="I118" s="201"/>
      <c r="J118" s="201"/>
      <c r="K118" s="201"/>
      <c r="L118" s="201"/>
      <c r="M118" s="201"/>
      <c r="N118" s="201"/>
      <c r="O118" s="201"/>
      <c r="P118" s="14"/>
      <c r="Q118" s="14"/>
      <c r="R118" s="14"/>
      <c r="S118" s="14"/>
      <c r="T118" s="14"/>
      <c r="U118" s="14"/>
      <c r="V118" s="14"/>
    </row>
    <row r="119" spans="1:22" x14ac:dyDescent="0.35">
      <c r="A119" s="201"/>
      <c r="B119" s="201"/>
      <c r="C119" s="201"/>
      <c r="D119" s="201"/>
      <c r="E119" s="201"/>
      <c r="F119" s="201"/>
      <c r="G119" s="201"/>
      <c r="H119" s="201"/>
      <c r="I119" s="201"/>
      <c r="J119" s="201"/>
      <c r="K119" s="201"/>
      <c r="L119" s="201"/>
      <c r="M119" s="201"/>
      <c r="N119" s="201"/>
      <c r="O119" s="201"/>
      <c r="P119" s="14"/>
      <c r="Q119" s="14"/>
      <c r="R119" s="14"/>
      <c r="S119" s="14"/>
      <c r="T119" s="14"/>
      <c r="U119" s="14"/>
      <c r="V119" s="14"/>
    </row>
    <row r="120" spans="1:22" x14ac:dyDescent="0.35">
      <c r="A120" s="17"/>
      <c r="B120" s="17"/>
      <c r="C120" s="17"/>
      <c r="D120" s="17"/>
      <c r="E120" s="17"/>
      <c r="F120" s="17"/>
      <c r="G120" s="17"/>
      <c r="H120" s="17"/>
      <c r="I120" s="17"/>
      <c r="J120" s="17"/>
      <c r="K120" s="17"/>
      <c r="L120" s="17"/>
      <c r="M120" s="17"/>
      <c r="N120" s="17"/>
      <c r="O120" s="14"/>
      <c r="P120" s="14"/>
      <c r="Q120" s="14"/>
      <c r="R120" s="14"/>
      <c r="S120" s="14"/>
      <c r="T120" s="14"/>
      <c r="U120" s="14"/>
      <c r="V120" s="14"/>
    </row>
    <row r="121" spans="1:22" x14ac:dyDescent="0.35">
      <c r="A121" s="17"/>
      <c r="B121" s="17"/>
      <c r="C121" s="17"/>
      <c r="D121" s="17"/>
      <c r="E121" s="17"/>
      <c r="F121" s="17"/>
      <c r="G121" s="17"/>
      <c r="H121" s="17"/>
      <c r="I121" s="17"/>
      <c r="J121" s="17"/>
      <c r="K121" s="17"/>
      <c r="L121" s="17"/>
      <c r="M121" s="17"/>
      <c r="N121" s="17"/>
      <c r="O121" s="14"/>
      <c r="P121" s="14"/>
      <c r="Q121" s="14"/>
      <c r="R121" s="14"/>
      <c r="S121" s="14"/>
      <c r="T121" s="14"/>
      <c r="U121" s="14"/>
      <c r="V121" s="14"/>
    </row>
    <row r="122" spans="1:22" ht="19.5" customHeight="1" x14ac:dyDescent="0.35">
      <c r="A122" s="202"/>
      <c r="B122" s="202"/>
      <c r="C122" s="202"/>
      <c r="D122" s="202"/>
      <c r="E122" s="202"/>
      <c r="F122" s="202"/>
      <c r="G122" s="202"/>
      <c r="H122" s="202"/>
      <c r="I122" s="202"/>
      <c r="J122" s="202"/>
      <c r="K122" s="23"/>
      <c r="L122" s="23"/>
      <c r="M122" s="23"/>
      <c r="N122" s="23"/>
      <c r="O122" s="23"/>
      <c r="P122" s="14"/>
      <c r="Q122" s="14"/>
      <c r="R122" s="14"/>
      <c r="S122" s="14"/>
      <c r="T122" s="14"/>
      <c r="U122" s="14"/>
      <c r="V122" s="14"/>
    </row>
    <row r="123" spans="1:22" x14ac:dyDescent="0.35">
      <c r="A123" s="202"/>
      <c r="B123" s="202"/>
      <c r="C123" s="202"/>
      <c r="D123" s="202"/>
      <c r="E123" s="202"/>
      <c r="F123" s="202"/>
      <c r="G123" s="202"/>
      <c r="H123" s="202"/>
      <c r="I123" s="202"/>
      <c r="J123" s="202"/>
      <c r="K123" s="23"/>
      <c r="L123" s="23"/>
      <c r="M123" s="23"/>
      <c r="N123" s="23"/>
      <c r="O123" s="23"/>
      <c r="P123" s="14"/>
      <c r="Q123" s="14"/>
      <c r="R123" s="14"/>
      <c r="S123" s="14"/>
      <c r="T123" s="14"/>
      <c r="U123" s="14"/>
      <c r="V123" s="14"/>
    </row>
    <row r="124" spans="1:22" x14ac:dyDescent="0.35">
      <c r="A124" s="202"/>
      <c r="B124" s="202"/>
      <c r="C124" s="202"/>
      <c r="D124" s="202"/>
      <c r="E124" s="202"/>
      <c r="F124" s="202"/>
      <c r="G124" s="202"/>
      <c r="H124" s="202"/>
      <c r="I124" s="202"/>
      <c r="J124" s="202"/>
      <c r="K124" s="23"/>
      <c r="L124" s="23"/>
      <c r="M124" s="23"/>
      <c r="N124" s="23"/>
      <c r="O124" s="23"/>
      <c r="P124" s="14"/>
      <c r="Q124" s="14"/>
      <c r="R124" s="14"/>
      <c r="S124" s="14"/>
      <c r="T124" s="14"/>
      <c r="U124" s="14"/>
      <c r="V124" s="14"/>
    </row>
    <row r="125" spans="1:22" x14ac:dyDescent="0.35">
      <c r="A125" s="202"/>
      <c r="B125" s="202"/>
      <c r="C125" s="202"/>
      <c r="D125" s="202"/>
      <c r="E125" s="202"/>
      <c r="F125" s="202"/>
      <c r="G125" s="202"/>
      <c r="H125" s="202"/>
      <c r="I125" s="202"/>
      <c r="J125" s="202"/>
      <c r="K125" s="23"/>
      <c r="L125" s="23"/>
      <c r="M125" s="23"/>
      <c r="N125" s="23"/>
      <c r="O125" s="23"/>
      <c r="P125" s="14"/>
      <c r="Q125" s="14"/>
      <c r="R125" s="14"/>
      <c r="S125" s="14"/>
      <c r="T125" s="14"/>
      <c r="U125" s="14"/>
      <c r="V125" s="14"/>
    </row>
    <row r="126" spans="1:22" x14ac:dyDescent="0.35">
      <c r="A126" s="202"/>
      <c r="B126" s="202"/>
      <c r="C126" s="202"/>
      <c r="D126" s="202"/>
      <c r="E126" s="202"/>
      <c r="F126" s="202"/>
      <c r="G126" s="202"/>
      <c r="H126" s="202"/>
      <c r="I126" s="202"/>
      <c r="J126" s="202"/>
      <c r="K126" s="23"/>
      <c r="L126" s="23"/>
      <c r="M126" s="23"/>
      <c r="N126" s="23"/>
      <c r="O126" s="23"/>
      <c r="P126" s="14"/>
      <c r="Q126" s="14"/>
      <c r="R126" s="14"/>
      <c r="S126" s="14"/>
      <c r="T126" s="14"/>
      <c r="U126" s="14"/>
      <c r="V126" s="14"/>
    </row>
    <row r="127" spans="1:22" x14ac:dyDescent="0.35">
      <c r="A127" s="202"/>
      <c r="B127" s="202"/>
      <c r="C127" s="202"/>
      <c r="D127" s="202"/>
      <c r="E127" s="202"/>
      <c r="F127" s="202"/>
      <c r="G127" s="202"/>
      <c r="H127" s="202"/>
      <c r="I127" s="202"/>
      <c r="J127" s="202"/>
      <c r="K127" s="23"/>
      <c r="L127" s="23"/>
      <c r="M127" s="23"/>
      <c r="N127" s="23"/>
      <c r="O127" s="23"/>
      <c r="P127" s="14"/>
      <c r="Q127" s="14"/>
      <c r="R127" s="14"/>
      <c r="S127" s="14"/>
      <c r="T127" s="14"/>
      <c r="U127" s="14"/>
      <c r="V127" s="14"/>
    </row>
    <row r="128" spans="1:22" x14ac:dyDescent="0.35">
      <c r="A128" s="202"/>
      <c r="B128" s="202"/>
      <c r="C128" s="202"/>
      <c r="D128" s="202"/>
      <c r="E128" s="202"/>
      <c r="F128" s="202"/>
      <c r="G128" s="202"/>
      <c r="H128" s="202"/>
      <c r="I128" s="202"/>
      <c r="J128" s="202"/>
      <c r="K128" s="23"/>
      <c r="L128" s="23"/>
      <c r="M128" s="23"/>
      <c r="N128" s="23"/>
      <c r="O128" s="23"/>
      <c r="P128" s="14"/>
      <c r="Q128" s="14"/>
      <c r="R128" s="14"/>
      <c r="S128" s="14"/>
      <c r="T128" s="14"/>
      <c r="U128" s="14"/>
      <c r="V128" s="14"/>
    </row>
    <row r="129" spans="1:22" x14ac:dyDescent="0.35">
      <c r="A129" s="202"/>
      <c r="B129" s="202"/>
      <c r="C129" s="202"/>
      <c r="D129" s="202"/>
      <c r="E129" s="202"/>
      <c r="F129" s="202"/>
      <c r="G129" s="202"/>
      <c r="H129" s="202"/>
      <c r="I129" s="202"/>
      <c r="J129" s="202"/>
      <c r="K129" s="23"/>
      <c r="L129" s="23"/>
      <c r="M129" s="23"/>
      <c r="N129" s="23"/>
      <c r="O129" s="23"/>
      <c r="P129" s="14"/>
      <c r="Q129" s="14"/>
      <c r="R129" s="14"/>
      <c r="S129" s="14"/>
      <c r="T129" s="14"/>
      <c r="U129" s="14"/>
      <c r="V129" s="14"/>
    </row>
    <row r="130" spans="1:22" x14ac:dyDescent="0.35">
      <c r="A130" s="202"/>
      <c r="B130" s="202"/>
      <c r="C130" s="202"/>
      <c r="D130" s="202"/>
      <c r="E130" s="202"/>
      <c r="F130" s="202"/>
      <c r="G130" s="202"/>
      <c r="H130" s="202"/>
      <c r="I130" s="202"/>
      <c r="J130" s="202"/>
      <c r="K130" s="23"/>
      <c r="L130" s="23"/>
      <c r="M130" s="23"/>
      <c r="N130" s="23"/>
      <c r="O130" s="23"/>
      <c r="P130" s="14"/>
      <c r="Q130" s="14"/>
      <c r="R130" s="14"/>
      <c r="S130" s="14"/>
      <c r="T130" s="14"/>
      <c r="U130" s="14"/>
      <c r="V130" s="14"/>
    </row>
    <row r="131" spans="1:22" x14ac:dyDescent="0.35">
      <c r="A131" s="202"/>
      <c r="B131" s="202"/>
      <c r="C131" s="202"/>
      <c r="D131" s="202"/>
      <c r="E131" s="202"/>
      <c r="F131" s="202"/>
      <c r="G131" s="202"/>
      <c r="H131" s="202"/>
      <c r="I131" s="202"/>
      <c r="J131" s="202"/>
      <c r="K131" s="23"/>
      <c r="L131" s="23"/>
      <c r="M131" s="23"/>
      <c r="N131" s="23"/>
      <c r="O131" s="23"/>
      <c r="P131" s="14"/>
      <c r="Q131" s="14"/>
      <c r="R131" s="14"/>
      <c r="S131" s="14"/>
      <c r="T131" s="14"/>
      <c r="U131" s="14"/>
      <c r="V131" s="14"/>
    </row>
    <row r="132" spans="1:22" x14ac:dyDescent="0.35">
      <c r="A132" s="202"/>
      <c r="B132" s="202"/>
      <c r="C132" s="202"/>
      <c r="D132" s="202"/>
      <c r="E132" s="202"/>
      <c r="F132" s="202"/>
      <c r="G132" s="202"/>
      <c r="H132" s="202"/>
      <c r="I132" s="202"/>
      <c r="J132" s="202"/>
      <c r="K132" s="23"/>
      <c r="L132" s="23"/>
      <c r="M132" s="23"/>
      <c r="N132" s="23"/>
      <c r="O132" s="23"/>
      <c r="P132" s="14"/>
      <c r="Q132" s="14"/>
      <c r="R132" s="14"/>
      <c r="S132" s="14"/>
      <c r="T132" s="14"/>
      <c r="U132" s="14"/>
      <c r="V132" s="14"/>
    </row>
    <row r="133" spans="1:22" x14ac:dyDescent="0.35">
      <c r="A133" s="202"/>
      <c r="B133" s="202"/>
      <c r="C133" s="202"/>
      <c r="D133" s="202"/>
      <c r="E133" s="202"/>
      <c r="F133" s="202"/>
      <c r="G133" s="202"/>
      <c r="H133" s="202"/>
      <c r="I133" s="202"/>
      <c r="J133" s="202"/>
      <c r="K133" s="13"/>
      <c r="L133" s="13"/>
      <c r="M133" s="13"/>
      <c r="N133" s="13"/>
      <c r="O133" s="13"/>
      <c r="P133" s="14"/>
      <c r="Q133" s="14"/>
      <c r="R133" s="14"/>
      <c r="S133" s="14"/>
      <c r="T133" s="14"/>
      <c r="U133" s="14"/>
      <c r="V133" s="14"/>
    </row>
    <row r="134" spans="1:22" x14ac:dyDescent="0.35">
      <c r="A134" s="202"/>
      <c r="B134" s="202"/>
      <c r="C134" s="202"/>
      <c r="D134" s="202"/>
      <c r="E134" s="202"/>
      <c r="F134" s="202"/>
      <c r="G134" s="202"/>
      <c r="H134" s="202"/>
      <c r="I134" s="202"/>
      <c r="J134" s="202"/>
      <c r="K134" s="13"/>
      <c r="L134" s="13"/>
      <c r="M134" s="13"/>
      <c r="N134" s="13"/>
      <c r="O134" s="13"/>
      <c r="P134" s="14"/>
      <c r="Q134" s="14"/>
      <c r="R134" s="14"/>
      <c r="S134" s="14"/>
      <c r="T134" s="14"/>
      <c r="U134" s="14"/>
      <c r="V134" s="14"/>
    </row>
    <row r="135" spans="1:22" x14ac:dyDescent="0.35">
      <c r="A135" s="202"/>
      <c r="B135" s="202"/>
      <c r="C135" s="202"/>
      <c r="D135" s="202"/>
      <c r="E135" s="202"/>
      <c r="F135" s="202"/>
      <c r="G135" s="202"/>
      <c r="H135" s="202"/>
      <c r="I135" s="202"/>
      <c r="J135" s="202"/>
      <c r="K135" s="9"/>
      <c r="P135" s="14"/>
      <c r="Q135" s="14"/>
      <c r="R135" s="14"/>
      <c r="S135" s="14"/>
      <c r="T135" s="14"/>
      <c r="U135" s="14"/>
      <c r="V135" s="14"/>
    </row>
    <row r="136" spans="1:22" x14ac:dyDescent="0.35">
      <c r="A136" s="202"/>
      <c r="B136" s="202"/>
      <c r="C136" s="202"/>
      <c r="D136" s="202"/>
      <c r="E136" s="202"/>
      <c r="F136" s="202"/>
      <c r="G136" s="202"/>
      <c r="H136" s="202"/>
      <c r="I136" s="202"/>
      <c r="J136" s="202"/>
      <c r="K136" s="9"/>
      <c r="P136" s="14"/>
      <c r="Q136" s="14"/>
      <c r="R136" s="14"/>
      <c r="S136" s="14"/>
      <c r="T136" s="14"/>
      <c r="U136" s="14"/>
      <c r="V136" s="14"/>
    </row>
    <row r="137" spans="1:22" x14ac:dyDescent="0.35">
      <c r="A137" s="202"/>
      <c r="B137" s="202"/>
      <c r="C137" s="202"/>
      <c r="D137" s="202"/>
      <c r="E137" s="202"/>
      <c r="F137" s="202"/>
      <c r="G137" s="202"/>
      <c r="H137" s="202"/>
      <c r="I137" s="202"/>
      <c r="J137" s="202"/>
      <c r="K137" s="9"/>
      <c r="P137" s="14"/>
      <c r="Q137" s="14"/>
      <c r="R137" s="14"/>
      <c r="S137" s="14"/>
      <c r="T137" s="14"/>
      <c r="U137" s="14"/>
      <c r="V137" s="14"/>
    </row>
    <row r="138" spans="1:22" x14ac:dyDescent="0.35">
      <c r="A138" s="202"/>
      <c r="B138" s="202"/>
      <c r="C138" s="202"/>
      <c r="D138" s="202"/>
      <c r="E138" s="202"/>
      <c r="F138" s="202"/>
      <c r="G138" s="202"/>
      <c r="H138" s="202"/>
      <c r="I138" s="202"/>
      <c r="J138" s="202"/>
      <c r="K138" s="9"/>
      <c r="P138" s="14"/>
      <c r="Q138" s="14"/>
      <c r="R138" s="14"/>
      <c r="S138" s="14"/>
      <c r="T138" s="14"/>
      <c r="U138" s="14"/>
      <c r="V138" s="14"/>
    </row>
    <row r="139" spans="1:22" x14ac:dyDescent="0.35">
      <c r="A139" s="202"/>
      <c r="B139" s="202"/>
      <c r="C139" s="202"/>
      <c r="D139" s="202"/>
      <c r="E139" s="202"/>
      <c r="F139" s="202"/>
      <c r="G139" s="202"/>
      <c r="H139" s="202"/>
      <c r="I139" s="202"/>
      <c r="J139" s="202"/>
      <c r="K139" s="9"/>
      <c r="P139" s="14"/>
      <c r="Q139" s="14"/>
      <c r="R139" s="14"/>
      <c r="S139" s="14"/>
      <c r="T139" s="14"/>
      <c r="U139" s="14"/>
      <c r="V139" s="14"/>
    </row>
    <row r="140" spans="1:22" x14ac:dyDescent="0.35">
      <c r="A140" s="203"/>
      <c r="B140" s="203"/>
      <c r="C140" s="203"/>
      <c r="D140" s="203"/>
      <c r="E140" s="203"/>
      <c r="F140" s="203"/>
      <c r="G140" s="203"/>
      <c r="H140" s="203"/>
      <c r="I140" s="203"/>
      <c r="J140" s="203"/>
      <c r="K140" s="9"/>
      <c r="P140" s="14"/>
      <c r="Q140" s="14"/>
      <c r="R140" s="14"/>
      <c r="S140" s="14"/>
      <c r="T140" s="14"/>
      <c r="U140" s="14"/>
      <c r="V140" s="14"/>
    </row>
    <row r="141" spans="1:22" x14ac:dyDescent="0.35">
      <c r="A141" s="203"/>
      <c r="B141" s="203"/>
      <c r="C141" s="203"/>
      <c r="D141" s="203"/>
      <c r="E141" s="203"/>
      <c r="F141" s="203"/>
      <c r="G141" s="203"/>
      <c r="H141" s="203"/>
      <c r="I141" s="203"/>
      <c r="J141" s="203"/>
      <c r="K141" s="9"/>
      <c r="P141" s="14"/>
      <c r="Q141" s="14"/>
      <c r="R141" s="14"/>
      <c r="S141" s="14"/>
      <c r="T141" s="14"/>
      <c r="U141" s="14"/>
      <c r="V141" s="14"/>
    </row>
    <row r="142" spans="1:22" x14ac:dyDescent="0.35">
      <c r="A142" s="203"/>
      <c r="B142" s="203"/>
      <c r="C142" s="203"/>
      <c r="D142" s="203"/>
      <c r="E142" s="203"/>
      <c r="F142" s="203"/>
      <c r="G142" s="203"/>
      <c r="H142" s="203"/>
      <c r="I142" s="203"/>
      <c r="J142" s="203"/>
      <c r="K142" s="9"/>
      <c r="P142" s="14"/>
      <c r="Q142" s="14"/>
      <c r="R142" s="14"/>
      <c r="S142" s="14"/>
      <c r="T142" s="14"/>
      <c r="U142" s="14"/>
      <c r="V142" s="14"/>
    </row>
    <row r="143" spans="1:22" x14ac:dyDescent="0.35">
      <c r="A143" s="203"/>
      <c r="B143" s="203"/>
      <c r="C143" s="203"/>
      <c r="D143" s="203"/>
      <c r="E143" s="203"/>
      <c r="F143" s="203"/>
      <c r="G143" s="203"/>
      <c r="H143" s="203"/>
      <c r="I143" s="203"/>
      <c r="J143" s="203"/>
      <c r="K143" s="9"/>
      <c r="P143" s="14"/>
      <c r="Q143" s="14"/>
      <c r="R143" s="14"/>
      <c r="S143" s="14"/>
      <c r="T143" s="14"/>
      <c r="U143" s="14"/>
      <c r="V143" s="14"/>
    </row>
    <row r="144" spans="1:22" x14ac:dyDescent="0.35">
      <c r="A144" s="203"/>
      <c r="B144" s="203"/>
      <c r="C144" s="203"/>
      <c r="D144" s="203"/>
      <c r="E144" s="203"/>
      <c r="F144" s="203"/>
      <c r="G144" s="203"/>
      <c r="H144" s="203"/>
      <c r="I144" s="203"/>
      <c r="J144" s="203"/>
      <c r="K144" s="9"/>
      <c r="P144" s="14"/>
      <c r="Q144" s="14"/>
      <c r="R144" s="14"/>
      <c r="S144" s="14"/>
      <c r="T144" s="14"/>
      <c r="U144" s="14"/>
      <c r="V144" s="14"/>
    </row>
    <row r="145" spans="1:22" x14ac:dyDescent="0.35">
      <c r="A145" s="14"/>
      <c r="B145" s="14"/>
      <c r="C145" s="14"/>
      <c r="D145" s="17"/>
      <c r="E145" s="17"/>
      <c r="F145" s="17"/>
      <c r="G145" s="17"/>
      <c r="H145" s="17"/>
      <c r="I145" s="17"/>
      <c r="J145" s="17"/>
      <c r="K145" s="17"/>
      <c r="L145" s="14"/>
      <c r="M145" s="14"/>
      <c r="N145" s="14"/>
      <c r="O145" s="14"/>
      <c r="P145" s="14"/>
      <c r="Q145" s="14"/>
      <c r="R145" s="14"/>
      <c r="S145" s="14"/>
      <c r="T145" s="14"/>
      <c r="U145" s="14"/>
      <c r="V145" s="14"/>
    </row>
    <row r="146" spans="1:22" x14ac:dyDescent="0.35">
      <c r="A146" s="14"/>
      <c r="B146" s="14"/>
      <c r="C146" s="14"/>
      <c r="D146" s="17"/>
      <c r="E146" s="17"/>
      <c r="F146" s="17"/>
      <c r="G146" s="17"/>
      <c r="H146" s="17"/>
      <c r="I146" s="17"/>
      <c r="J146" s="17"/>
      <c r="K146" s="17"/>
      <c r="L146" s="14"/>
      <c r="M146" s="14"/>
      <c r="N146" s="14"/>
      <c r="O146" s="14"/>
      <c r="P146" s="14"/>
      <c r="Q146" s="14"/>
      <c r="R146" s="14"/>
      <c r="S146" s="14"/>
      <c r="T146" s="14"/>
      <c r="U146" s="14"/>
      <c r="V146" s="14"/>
    </row>
    <row r="147" spans="1:22" ht="17.25" customHeight="1" x14ac:dyDescent="0.35">
      <c r="A147" s="204"/>
      <c r="B147" s="204"/>
      <c r="C147" s="204"/>
      <c r="D147" s="204"/>
      <c r="E147" s="204"/>
      <c r="F147" s="204"/>
      <c r="G147" s="204"/>
      <c r="H147" s="204"/>
      <c r="I147" s="204"/>
      <c r="J147" s="204"/>
      <c r="K147" s="9"/>
      <c r="P147" s="14"/>
      <c r="Q147" s="14"/>
      <c r="R147" s="14"/>
      <c r="S147" s="14"/>
      <c r="T147" s="14"/>
      <c r="U147" s="14"/>
      <c r="V147" s="14"/>
    </row>
    <row r="148" spans="1:22" x14ac:dyDescent="0.35">
      <c r="A148" s="204"/>
      <c r="B148" s="204"/>
      <c r="C148" s="204"/>
      <c r="D148" s="204"/>
      <c r="E148" s="204"/>
      <c r="F148" s="204"/>
      <c r="G148" s="204"/>
      <c r="H148" s="204"/>
      <c r="I148" s="204"/>
      <c r="J148" s="204"/>
      <c r="K148" s="9"/>
      <c r="P148" s="14"/>
      <c r="Q148" s="14"/>
      <c r="R148" s="14"/>
      <c r="S148" s="14"/>
      <c r="T148" s="14"/>
      <c r="U148" s="14"/>
      <c r="V148" s="14"/>
    </row>
    <row r="149" spans="1:22" x14ac:dyDescent="0.35">
      <c r="A149" s="204"/>
      <c r="B149" s="204"/>
      <c r="C149" s="204"/>
      <c r="D149" s="204"/>
      <c r="E149" s="204"/>
      <c r="F149" s="204"/>
      <c r="G149" s="204"/>
      <c r="H149" s="204"/>
      <c r="I149" s="204"/>
      <c r="J149" s="204"/>
      <c r="K149" s="9"/>
      <c r="P149" s="14"/>
      <c r="Q149" s="14"/>
      <c r="R149" s="14"/>
      <c r="S149" s="14"/>
      <c r="T149" s="14"/>
      <c r="U149" s="14"/>
      <c r="V149" s="14"/>
    </row>
    <row r="150" spans="1:22" x14ac:dyDescent="0.35">
      <c r="A150" s="204"/>
      <c r="B150" s="204"/>
      <c r="C150" s="204"/>
      <c r="D150" s="204"/>
      <c r="E150" s="204"/>
      <c r="F150" s="204"/>
      <c r="G150" s="204"/>
      <c r="H150" s="204"/>
      <c r="I150" s="204"/>
      <c r="J150" s="204"/>
      <c r="K150" s="9"/>
      <c r="P150" s="14"/>
      <c r="Q150" s="14"/>
      <c r="R150" s="14"/>
      <c r="S150" s="14"/>
      <c r="T150" s="14"/>
      <c r="U150" s="14"/>
      <c r="V150" s="14"/>
    </row>
    <row r="151" spans="1:22" x14ac:dyDescent="0.35">
      <c r="A151" s="204"/>
      <c r="B151" s="204"/>
      <c r="C151" s="204"/>
      <c r="D151" s="204"/>
      <c r="E151" s="204"/>
      <c r="F151" s="204"/>
      <c r="G151" s="204"/>
      <c r="H151" s="204"/>
      <c r="I151" s="204"/>
      <c r="J151" s="204"/>
      <c r="K151" s="9"/>
      <c r="P151" s="14"/>
      <c r="Q151" s="14"/>
      <c r="R151" s="14"/>
      <c r="S151" s="14"/>
      <c r="T151" s="14"/>
      <c r="U151" s="14"/>
      <c r="V151" s="14"/>
    </row>
    <row r="152" spans="1:22" x14ac:dyDescent="0.35">
      <c r="A152" s="204"/>
      <c r="B152" s="204"/>
      <c r="C152" s="204"/>
      <c r="D152" s="204"/>
      <c r="E152" s="204"/>
      <c r="F152" s="204"/>
      <c r="G152" s="204"/>
      <c r="H152" s="204"/>
      <c r="I152" s="204"/>
      <c r="J152" s="204"/>
      <c r="P152" s="14"/>
      <c r="Q152" s="14"/>
      <c r="R152" s="14"/>
      <c r="S152" s="14"/>
      <c r="T152" s="14"/>
      <c r="U152" s="14"/>
      <c r="V152" s="14"/>
    </row>
    <row r="153" spans="1:22" x14ac:dyDescent="0.35">
      <c r="A153" s="204"/>
      <c r="B153" s="204"/>
      <c r="C153" s="204"/>
      <c r="D153" s="204"/>
      <c r="E153" s="204"/>
      <c r="F153" s="204"/>
      <c r="G153" s="204"/>
      <c r="H153" s="204"/>
      <c r="I153" s="204"/>
      <c r="J153" s="204"/>
      <c r="P153" s="14"/>
      <c r="Q153" s="14"/>
      <c r="R153" s="14"/>
      <c r="S153" s="14"/>
      <c r="T153" s="14"/>
      <c r="U153" s="14"/>
      <c r="V153" s="14"/>
    </row>
    <row r="154" spans="1:22" x14ac:dyDescent="0.35">
      <c r="A154" s="204"/>
      <c r="B154" s="204"/>
      <c r="C154" s="204"/>
      <c r="D154" s="204"/>
      <c r="E154" s="204"/>
      <c r="F154" s="204"/>
      <c r="G154" s="204"/>
      <c r="H154" s="204"/>
      <c r="I154" s="204"/>
      <c r="J154" s="204"/>
      <c r="P154" s="14"/>
      <c r="Q154" s="14"/>
      <c r="R154" s="14"/>
      <c r="S154" s="14"/>
      <c r="T154" s="14"/>
      <c r="U154" s="14"/>
      <c r="V154" s="14"/>
    </row>
    <row r="155" spans="1:22" x14ac:dyDescent="0.35">
      <c r="A155" s="204"/>
      <c r="B155" s="204"/>
      <c r="C155" s="204"/>
      <c r="D155" s="204"/>
      <c r="E155" s="204"/>
      <c r="F155" s="204"/>
      <c r="G155" s="204"/>
      <c r="H155" s="204"/>
      <c r="I155" s="204"/>
      <c r="J155" s="204"/>
      <c r="P155" s="14"/>
      <c r="Q155" s="14"/>
      <c r="R155" s="14"/>
      <c r="S155" s="14"/>
      <c r="T155" s="14"/>
      <c r="U155" s="14"/>
      <c r="V155" s="14"/>
    </row>
    <row r="156" spans="1:22" x14ac:dyDescent="0.35">
      <c r="A156" s="204"/>
      <c r="B156" s="204"/>
      <c r="C156" s="204"/>
      <c r="D156" s="204"/>
      <c r="E156" s="204"/>
      <c r="F156" s="204"/>
      <c r="G156" s="204"/>
      <c r="H156" s="204"/>
      <c r="I156" s="204"/>
      <c r="J156" s="204"/>
      <c r="P156" s="14"/>
      <c r="Q156" s="14"/>
      <c r="R156" s="14"/>
      <c r="S156" s="14"/>
      <c r="T156" s="14"/>
      <c r="U156" s="14"/>
      <c r="V156" s="14"/>
    </row>
    <row r="157" spans="1:22" x14ac:dyDescent="0.35">
      <c r="A157" s="204"/>
      <c r="B157" s="204"/>
      <c r="C157" s="204"/>
      <c r="D157" s="204"/>
      <c r="E157" s="204"/>
      <c r="F157" s="204"/>
      <c r="G157" s="204"/>
      <c r="H157" s="204"/>
      <c r="I157" s="204"/>
      <c r="J157" s="204"/>
      <c r="P157" s="14"/>
      <c r="Q157" s="14"/>
      <c r="R157" s="14"/>
      <c r="S157" s="14"/>
      <c r="T157" s="14"/>
      <c r="U157" s="14"/>
      <c r="V157" s="14"/>
    </row>
    <row r="158" spans="1:22" x14ac:dyDescent="0.35">
      <c r="A158" s="204"/>
      <c r="B158" s="204"/>
      <c r="C158" s="204"/>
      <c r="D158" s="204"/>
      <c r="E158" s="204"/>
      <c r="F158" s="204"/>
      <c r="G158" s="204"/>
      <c r="H158" s="204"/>
      <c r="I158" s="204"/>
      <c r="J158" s="204"/>
      <c r="P158" s="14"/>
      <c r="Q158" s="14"/>
      <c r="R158" s="14"/>
      <c r="S158" s="14"/>
      <c r="T158" s="14"/>
      <c r="U158" s="14"/>
      <c r="V158" s="14"/>
    </row>
    <row r="159" spans="1:22" x14ac:dyDescent="0.35">
      <c r="A159" s="204"/>
      <c r="B159" s="204"/>
      <c r="C159" s="204"/>
      <c r="D159" s="204"/>
      <c r="E159" s="204"/>
      <c r="F159" s="204"/>
      <c r="G159" s="204"/>
      <c r="H159" s="204"/>
      <c r="I159" s="204"/>
      <c r="J159" s="204"/>
      <c r="P159" s="14"/>
      <c r="Q159" s="14"/>
      <c r="R159" s="14"/>
      <c r="S159" s="14"/>
      <c r="T159" s="14"/>
      <c r="U159" s="14"/>
      <c r="V159" s="14"/>
    </row>
    <row r="160" spans="1:22" x14ac:dyDescent="0.35">
      <c r="P160" s="14"/>
      <c r="Q160" s="14"/>
      <c r="R160" s="14"/>
      <c r="S160" s="14"/>
      <c r="T160" s="14"/>
      <c r="U160" s="14"/>
      <c r="V160" s="14"/>
    </row>
    <row r="161" spans="1:22" x14ac:dyDescent="0.35">
      <c r="P161" s="14"/>
      <c r="Q161" s="14"/>
      <c r="R161" s="14"/>
      <c r="S161" s="14"/>
      <c r="T161" s="14"/>
      <c r="U161" s="14"/>
      <c r="V161" s="14"/>
    </row>
    <row r="162" spans="1:22" x14ac:dyDescent="0.35">
      <c r="P162" s="14"/>
      <c r="Q162" s="14"/>
      <c r="R162" s="14"/>
      <c r="S162" s="14"/>
      <c r="T162" s="14"/>
      <c r="U162" s="14"/>
      <c r="V162" s="14"/>
    </row>
    <row r="163" spans="1:22" x14ac:dyDescent="0.35">
      <c r="P163" s="14"/>
      <c r="Q163" s="14"/>
      <c r="R163" s="14"/>
      <c r="S163" s="14"/>
      <c r="T163" s="14"/>
      <c r="U163" s="14"/>
      <c r="V163" s="14"/>
    </row>
    <row r="164" spans="1:22" x14ac:dyDescent="0.35">
      <c r="P164" s="14"/>
      <c r="Q164" s="14"/>
      <c r="R164" s="14"/>
      <c r="S164" s="14"/>
      <c r="T164" s="14"/>
      <c r="U164" s="14"/>
      <c r="V164" s="14"/>
    </row>
    <row r="165" spans="1:22" x14ac:dyDescent="0.35">
      <c r="P165" s="14"/>
      <c r="Q165" s="14"/>
      <c r="R165" s="14"/>
      <c r="S165" s="14"/>
      <c r="T165" s="14"/>
      <c r="U165" s="14"/>
      <c r="V165" s="14"/>
    </row>
    <row r="166" spans="1:22" x14ac:dyDescent="0.35">
      <c r="P166" s="14"/>
      <c r="Q166" s="14"/>
      <c r="R166" s="14"/>
      <c r="S166" s="14"/>
      <c r="T166" s="14"/>
      <c r="U166" s="14"/>
      <c r="V166" s="14"/>
    </row>
    <row r="167" spans="1:22" x14ac:dyDescent="0.35">
      <c r="P167" s="14"/>
      <c r="Q167" s="14"/>
      <c r="R167" s="14"/>
      <c r="S167" s="14"/>
      <c r="T167" s="14"/>
      <c r="U167" s="14"/>
      <c r="V167" s="14"/>
    </row>
    <row r="168" spans="1:22" x14ac:dyDescent="0.35">
      <c r="P168" s="14"/>
      <c r="Q168" s="14"/>
      <c r="R168" s="14"/>
      <c r="S168" s="14"/>
      <c r="T168" s="14"/>
      <c r="U168" s="14"/>
      <c r="V168" s="14"/>
    </row>
    <row r="169" spans="1:22" x14ac:dyDescent="0.35">
      <c r="P169" s="14"/>
      <c r="Q169" s="14"/>
      <c r="R169" s="14"/>
      <c r="S169" s="14"/>
      <c r="T169" s="14"/>
      <c r="U169" s="14"/>
      <c r="V169" s="14"/>
    </row>
    <row r="170" spans="1:22" x14ac:dyDescent="0.35">
      <c r="P170" s="14"/>
      <c r="Q170" s="14"/>
      <c r="R170" s="14"/>
      <c r="S170" s="14"/>
      <c r="T170" s="14"/>
      <c r="U170" s="14"/>
      <c r="V170" s="14"/>
    </row>
    <row r="171" spans="1:22" x14ac:dyDescent="0.35">
      <c r="P171" s="14"/>
      <c r="Q171" s="14"/>
      <c r="R171" s="14"/>
      <c r="S171" s="14"/>
      <c r="T171" s="14"/>
      <c r="U171" s="14"/>
      <c r="V171" s="14"/>
    </row>
    <row r="172" spans="1:22" x14ac:dyDescent="0.35">
      <c r="P172" s="14"/>
      <c r="Q172" s="14"/>
      <c r="R172" s="14"/>
      <c r="S172" s="14"/>
      <c r="T172" s="14"/>
      <c r="U172" s="14"/>
      <c r="V172" s="14"/>
    </row>
    <row r="173" spans="1:22" x14ac:dyDescent="0.35">
      <c r="A173" s="14"/>
      <c r="B173" s="14"/>
      <c r="C173" s="14"/>
      <c r="D173" s="14"/>
      <c r="E173" s="14"/>
      <c r="F173" s="14"/>
      <c r="G173" s="14"/>
      <c r="H173" s="14"/>
      <c r="I173" s="14"/>
      <c r="J173" s="14"/>
      <c r="K173" s="14"/>
      <c r="L173" s="14"/>
      <c r="M173" s="14"/>
      <c r="N173" s="14"/>
      <c r="O173" s="14"/>
      <c r="P173" s="14"/>
      <c r="Q173" s="14"/>
      <c r="R173" s="14"/>
      <c r="S173" s="14"/>
      <c r="T173" s="14"/>
      <c r="U173" s="14"/>
      <c r="V173" s="14"/>
    </row>
    <row r="174" spans="1:22" x14ac:dyDescent="0.35">
      <c r="A174" s="14"/>
      <c r="B174" s="14"/>
      <c r="C174" s="14"/>
      <c r="D174" s="14"/>
      <c r="E174" s="14"/>
      <c r="F174" s="14"/>
      <c r="G174" s="14"/>
      <c r="H174" s="14"/>
      <c r="I174" s="14"/>
      <c r="J174" s="14"/>
      <c r="K174" s="14"/>
      <c r="L174" s="14"/>
      <c r="M174" s="14"/>
      <c r="N174" s="14"/>
      <c r="O174" s="14"/>
      <c r="P174" s="14"/>
      <c r="Q174" s="14"/>
      <c r="R174" s="14"/>
      <c r="S174" s="14"/>
      <c r="T174" s="14"/>
      <c r="U174" s="14"/>
      <c r="V174" s="14"/>
    </row>
    <row r="175" spans="1:22" x14ac:dyDescent="0.35">
      <c r="A175" s="204"/>
      <c r="B175" s="205"/>
      <c r="C175" s="205"/>
      <c r="D175" s="205"/>
      <c r="E175" s="205"/>
      <c r="F175" s="205"/>
      <c r="G175" s="205"/>
      <c r="H175" s="205"/>
      <c r="I175" s="205"/>
      <c r="J175" s="205"/>
      <c r="K175" s="205"/>
      <c r="L175" s="205"/>
      <c r="M175" s="205"/>
      <c r="N175" s="205"/>
      <c r="O175" s="205"/>
      <c r="P175" s="14"/>
      <c r="Q175" s="14"/>
      <c r="R175" s="14"/>
      <c r="S175" s="14"/>
      <c r="T175" s="14"/>
      <c r="U175" s="14"/>
      <c r="V175" s="14"/>
    </row>
    <row r="176" spans="1:22" x14ac:dyDescent="0.35">
      <c r="A176" s="205"/>
      <c r="B176" s="205"/>
      <c r="C176" s="205"/>
      <c r="D176" s="205"/>
      <c r="E176" s="205"/>
      <c r="F176" s="205"/>
      <c r="G176" s="205"/>
      <c r="H176" s="205"/>
      <c r="I176" s="205"/>
      <c r="J176" s="205"/>
      <c r="K176" s="205"/>
      <c r="L176" s="205"/>
      <c r="M176" s="205"/>
      <c r="N176" s="205"/>
      <c r="O176" s="205"/>
      <c r="P176" s="14"/>
      <c r="Q176" s="14"/>
      <c r="R176" s="14"/>
      <c r="S176" s="14"/>
      <c r="T176" s="14"/>
      <c r="U176" s="14"/>
      <c r="V176" s="14"/>
    </row>
    <row r="177" spans="1:22" x14ac:dyDescent="0.35">
      <c r="A177" s="205"/>
      <c r="B177" s="205"/>
      <c r="C177" s="205"/>
      <c r="D177" s="205"/>
      <c r="E177" s="205"/>
      <c r="F177" s="205"/>
      <c r="G177" s="205"/>
      <c r="H177" s="205"/>
      <c r="I177" s="205"/>
      <c r="J177" s="205"/>
      <c r="K177" s="205"/>
      <c r="L177" s="205"/>
      <c r="M177" s="205"/>
      <c r="N177" s="205"/>
      <c r="O177" s="205"/>
      <c r="P177" s="14"/>
      <c r="Q177" s="14"/>
      <c r="R177" s="14"/>
      <c r="S177" s="14"/>
      <c r="T177" s="14"/>
      <c r="U177" s="14"/>
      <c r="V177" s="14"/>
    </row>
    <row r="178" spans="1:22" x14ac:dyDescent="0.35">
      <c r="A178" s="205"/>
      <c r="B178" s="205"/>
      <c r="C178" s="205"/>
      <c r="D178" s="205"/>
      <c r="E178" s="205"/>
      <c r="F178" s="205"/>
      <c r="G178" s="205"/>
      <c r="H178" s="205"/>
      <c r="I178" s="205"/>
      <c r="J178" s="205"/>
      <c r="K178" s="205"/>
      <c r="L178" s="205"/>
      <c r="M178" s="205"/>
      <c r="N178" s="205"/>
      <c r="O178" s="205"/>
      <c r="P178" s="14"/>
      <c r="Q178" s="14"/>
      <c r="R178" s="14"/>
      <c r="S178" s="14"/>
      <c r="T178" s="14"/>
      <c r="U178" s="14"/>
      <c r="V178" s="14"/>
    </row>
    <row r="179" spans="1:22" x14ac:dyDescent="0.35">
      <c r="A179" s="205"/>
      <c r="B179" s="205"/>
      <c r="C179" s="205"/>
      <c r="D179" s="205"/>
      <c r="E179" s="205"/>
      <c r="F179" s="205"/>
      <c r="G179" s="205"/>
      <c r="H179" s="205"/>
      <c r="I179" s="205"/>
      <c r="J179" s="205"/>
      <c r="K179" s="205"/>
      <c r="L179" s="205"/>
      <c r="M179" s="205"/>
      <c r="N179" s="205"/>
      <c r="O179" s="205"/>
      <c r="P179" s="14"/>
      <c r="Q179" s="14"/>
      <c r="R179" s="14"/>
      <c r="S179" s="14"/>
      <c r="T179" s="14"/>
      <c r="U179" s="14"/>
      <c r="V179" s="14"/>
    </row>
    <row r="180" spans="1:22" x14ac:dyDescent="0.35">
      <c r="A180" s="205"/>
      <c r="B180" s="205"/>
      <c r="C180" s="205"/>
      <c r="D180" s="205"/>
      <c r="E180" s="205"/>
      <c r="F180" s="205"/>
      <c r="G180" s="205"/>
      <c r="H180" s="205"/>
      <c r="I180" s="205"/>
      <c r="J180" s="205"/>
      <c r="K180" s="205"/>
      <c r="L180" s="205"/>
      <c r="M180" s="205"/>
      <c r="N180" s="205"/>
      <c r="O180" s="205"/>
      <c r="P180" s="14"/>
      <c r="Q180" s="14"/>
      <c r="R180" s="14"/>
      <c r="S180" s="14"/>
      <c r="T180" s="14"/>
      <c r="U180" s="14"/>
      <c r="V180" s="14"/>
    </row>
    <row r="181" spans="1:22" x14ac:dyDescent="0.35">
      <c r="A181" s="205"/>
      <c r="B181" s="205"/>
      <c r="C181" s="205"/>
      <c r="D181" s="205"/>
      <c r="E181" s="205"/>
      <c r="F181" s="205"/>
      <c r="G181" s="205"/>
      <c r="H181" s="205"/>
      <c r="I181" s="205"/>
      <c r="J181" s="205"/>
      <c r="K181" s="205"/>
      <c r="L181" s="205"/>
      <c r="M181" s="205"/>
      <c r="N181" s="205"/>
      <c r="O181" s="205"/>
      <c r="P181" s="14"/>
      <c r="Q181" s="14"/>
      <c r="R181" s="14"/>
      <c r="S181" s="14"/>
      <c r="T181" s="14"/>
      <c r="U181" s="14"/>
      <c r="V181" s="14"/>
    </row>
    <row r="182" spans="1:22" x14ac:dyDescent="0.35">
      <c r="A182" s="205"/>
      <c r="B182" s="205"/>
      <c r="C182" s="205"/>
      <c r="D182" s="205"/>
      <c r="E182" s="205"/>
      <c r="F182" s="205"/>
      <c r="G182" s="205"/>
      <c r="H182" s="205"/>
      <c r="I182" s="205"/>
      <c r="J182" s="205"/>
      <c r="K182" s="205"/>
      <c r="L182" s="205"/>
      <c r="M182" s="205"/>
      <c r="N182" s="205"/>
      <c r="O182" s="205"/>
      <c r="P182" s="14"/>
      <c r="Q182" s="14"/>
      <c r="R182" s="14"/>
      <c r="S182" s="14"/>
      <c r="T182" s="14"/>
      <c r="U182" s="14"/>
      <c r="V182" s="14"/>
    </row>
    <row r="183" spans="1:22" x14ac:dyDescent="0.35">
      <c r="A183" s="14"/>
      <c r="B183" s="14"/>
      <c r="C183" s="14"/>
      <c r="D183" s="14"/>
      <c r="E183" s="14"/>
      <c r="F183" s="14"/>
      <c r="G183" s="14"/>
      <c r="H183" s="14"/>
      <c r="I183" s="14"/>
      <c r="J183" s="14"/>
      <c r="K183" s="14"/>
      <c r="L183" s="14"/>
      <c r="M183" s="14"/>
      <c r="N183" s="14"/>
      <c r="O183" s="14"/>
      <c r="P183" s="14"/>
      <c r="Q183" s="14"/>
      <c r="R183" s="14"/>
      <c r="S183" s="14"/>
      <c r="T183" s="14"/>
      <c r="U183" s="14"/>
      <c r="V183" s="14"/>
    </row>
    <row r="184" spans="1:22" x14ac:dyDescent="0.35">
      <c r="A184" s="14"/>
      <c r="B184" s="14"/>
      <c r="C184" s="14"/>
      <c r="D184" s="14"/>
      <c r="E184" s="14"/>
      <c r="F184" s="14"/>
      <c r="G184" s="14"/>
      <c r="H184" s="14"/>
      <c r="I184" s="14"/>
      <c r="J184" s="14"/>
      <c r="K184" s="14"/>
      <c r="L184" s="14"/>
      <c r="M184" s="14"/>
      <c r="N184" s="14"/>
      <c r="O184" s="14"/>
      <c r="P184" s="14"/>
      <c r="Q184" s="14"/>
      <c r="R184" s="14"/>
      <c r="S184" s="14"/>
      <c r="T184" s="14"/>
      <c r="U184" s="14"/>
      <c r="V184" s="14"/>
    </row>
    <row r="185" spans="1:22" x14ac:dyDescent="0.35">
      <c r="A185" s="196"/>
      <c r="B185" s="196"/>
      <c r="C185" s="196"/>
      <c r="D185" s="196"/>
      <c r="E185" s="196"/>
      <c r="F185" s="196"/>
      <c r="G185" s="196"/>
      <c r="H185" s="196"/>
      <c r="I185" s="196"/>
      <c r="J185" s="196"/>
      <c r="K185" s="196"/>
      <c r="L185" s="196"/>
      <c r="M185" s="196"/>
      <c r="N185" s="196"/>
      <c r="O185" s="196"/>
      <c r="P185" s="14"/>
      <c r="Q185" s="14"/>
      <c r="R185" s="14"/>
      <c r="S185" s="14"/>
      <c r="T185" s="14"/>
      <c r="U185" s="14"/>
      <c r="V185" s="14"/>
    </row>
    <row r="186" spans="1:22" x14ac:dyDescent="0.35">
      <c r="A186" s="196"/>
      <c r="B186" s="196"/>
      <c r="C186" s="196"/>
      <c r="D186" s="196"/>
      <c r="E186" s="196"/>
      <c r="F186" s="196"/>
      <c r="G186" s="196"/>
      <c r="H186" s="196"/>
      <c r="I186" s="196"/>
      <c r="J186" s="196"/>
      <c r="K186" s="196"/>
      <c r="L186" s="196"/>
      <c r="M186" s="196"/>
      <c r="N186" s="196"/>
      <c r="O186" s="196"/>
      <c r="P186" s="14"/>
      <c r="Q186" s="14"/>
      <c r="R186" s="14"/>
      <c r="S186" s="14"/>
      <c r="T186" s="14"/>
      <c r="U186" s="14"/>
      <c r="V186" s="14"/>
    </row>
    <row r="187" spans="1:22" x14ac:dyDescent="0.35">
      <c r="A187" s="196"/>
      <c r="B187" s="196"/>
      <c r="C187" s="196"/>
      <c r="D187" s="196"/>
      <c r="E187" s="196"/>
      <c r="F187" s="196"/>
      <c r="G187" s="196"/>
      <c r="H187" s="196"/>
      <c r="I187" s="196"/>
      <c r="J187" s="196"/>
      <c r="K187" s="196"/>
      <c r="L187" s="196"/>
      <c r="M187" s="196"/>
      <c r="N187" s="196"/>
      <c r="O187" s="196"/>
      <c r="P187" s="14"/>
      <c r="Q187" s="14"/>
      <c r="R187" s="14"/>
      <c r="S187" s="14"/>
      <c r="T187" s="14"/>
      <c r="U187" s="14"/>
      <c r="V187" s="14"/>
    </row>
    <row r="188" spans="1:22" x14ac:dyDescent="0.35">
      <c r="A188" s="196"/>
      <c r="B188" s="196"/>
      <c r="C188" s="196"/>
      <c r="D188" s="196"/>
      <c r="E188" s="196"/>
      <c r="F188" s="196"/>
      <c r="G188" s="196"/>
      <c r="H188" s="196"/>
      <c r="I188" s="196"/>
      <c r="J188" s="196"/>
      <c r="K188" s="196"/>
      <c r="L188" s="196"/>
      <c r="M188" s="196"/>
      <c r="N188" s="196"/>
      <c r="O188" s="196"/>
      <c r="P188" s="14"/>
      <c r="Q188" s="14"/>
      <c r="R188" s="14"/>
      <c r="S188" s="14"/>
      <c r="T188" s="14"/>
      <c r="U188" s="14"/>
      <c r="V188" s="14"/>
    </row>
    <row r="189" spans="1:22" x14ac:dyDescent="0.35">
      <c r="A189" s="196"/>
      <c r="B189" s="196"/>
      <c r="C189" s="196"/>
      <c r="D189" s="196"/>
      <c r="E189" s="196"/>
      <c r="F189" s="196"/>
      <c r="G189" s="196"/>
      <c r="H189" s="196"/>
      <c r="I189" s="196"/>
      <c r="J189" s="196"/>
      <c r="K189" s="196"/>
      <c r="L189" s="196"/>
      <c r="M189" s="196"/>
      <c r="N189" s="196"/>
      <c r="O189" s="196"/>
      <c r="P189" s="14"/>
      <c r="Q189" s="14"/>
      <c r="R189" s="14"/>
      <c r="S189" s="14"/>
      <c r="T189" s="14"/>
      <c r="U189" s="14"/>
      <c r="V189" s="14"/>
    </row>
    <row r="190" spans="1:22" x14ac:dyDescent="0.35">
      <c r="A190" s="196"/>
      <c r="B190" s="196"/>
      <c r="C190" s="196"/>
      <c r="D190" s="196"/>
      <c r="E190" s="196"/>
      <c r="F190" s="196"/>
      <c r="G190" s="196"/>
      <c r="H190" s="196"/>
      <c r="I190" s="196"/>
      <c r="J190" s="196"/>
      <c r="K190" s="196"/>
      <c r="L190" s="196"/>
      <c r="M190" s="196"/>
      <c r="N190" s="196"/>
      <c r="O190" s="196"/>
      <c r="P190" s="14"/>
      <c r="Q190" s="14"/>
      <c r="R190" s="14"/>
      <c r="S190" s="14"/>
      <c r="T190" s="14"/>
      <c r="U190" s="14"/>
      <c r="V190" s="14"/>
    </row>
    <row r="191" spans="1:22" x14ac:dyDescent="0.35">
      <c r="A191" s="196"/>
      <c r="B191" s="196"/>
      <c r="C191" s="196"/>
      <c r="D191" s="196"/>
      <c r="E191" s="196"/>
      <c r="F191" s="196"/>
      <c r="G191" s="196"/>
      <c r="H191" s="196"/>
      <c r="I191" s="196"/>
      <c r="J191" s="196"/>
      <c r="K191" s="196"/>
      <c r="L191" s="196"/>
      <c r="M191" s="196"/>
      <c r="N191" s="196"/>
      <c r="O191" s="196"/>
      <c r="P191" s="14"/>
      <c r="Q191" s="14"/>
      <c r="R191" s="14"/>
      <c r="S191" s="14"/>
      <c r="T191" s="14"/>
      <c r="U191" s="14"/>
      <c r="V191" s="14"/>
    </row>
    <row r="192" spans="1:22" x14ac:dyDescent="0.35">
      <c r="A192" s="196"/>
      <c r="B192" s="196"/>
      <c r="C192" s="196"/>
      <c r="D192" s="196"/>
      <c r="E192" s="196"/>
      <c r="F192" s="196"/>
      <c r="G192" s="196"/>
      <c r="H192" s="196"/>
      <c r="I192" s="196"/>
      <c r="J192" s="196"/>
      <c r="K192" s="196"/>
      <c r="L192" s="196"/>
      <c r="M192" s="196"/>
      <c r="N192" s="196"/>
      <c r="O192" s="196"/>
      <c r="P192" s="14"/>
      <c r="Q192" s="14"/>
      <c r="R192" s="14"/>
      <c r="S192" s="14"/>
      <c r="T192" s="14"/>
      <c r="U192" s="14"/>
      <c r="V192" s="14"/>
    </row>
    <row r="193" spans="1:22" x14ac:dyDescent="0.35">
      <c r="A193" s="196"/>
      <c r="B193" s="196"/>
      <c r="C193" s="196"/>
      <c r="D193" s="196"/>
      <c r="E193" s="196"/>
      <c r="F193" s="196"/>
      <c r="G193" s="196"/>
      <c r="H193" s="196"/>
      <c r="I193" s="196"/>
      <c r="J193" s="196"/>
      <c r="K193" s="196"/>
      <c r="L193" s="196"/>
      <c r="M193" s="196"/>
      <c r="N193" s="196"/>
      <c r="O193" s="196"/>
      <c r="P193" s="14"/>
      <c r="Q193" s="14"/>
      <c r="R193" s="14"/>
      <c r="S193" s="14"/>
      <c r="T193" s="14"/>
      <c r="U193" s="14"/>
      <c r="V193" s="14"/>
    </row>
    <row r="194" spans="1:22" x14ac:dyDescent="0.35">
      <c r="A194" s="196"/>
      <c r="B194" s="196"/>
      <c r="C194" s="196"/>
      <c r="D194" s="196"/>
      <c r="E194" s="196"/>
      <c r="F194" s="196"/>
      <c r="G194" s="196"/>
      <c r="H194" s="196"/>
      <c r="I194" s="196"/>
      <c r="J194" s="196"/>
      <c r="K194" s="196"/>
      <c r="L194" s="196"/>
      <c r="M194" s="196"/>
      <c r="N194" s="196"/>
      <c r="O194" s="196"/>
      <c r="P194" s="14"/>
      <c r="Q194" s="14"/>
      <c r="R194" s="14"/>
      <c r="S194" s="14"/>
      <c r="T194" s="14"/>
      <c r="U194" s="14"/>
      <c r="V194" s="14"/>
    </row>
    <row r="195" spans="1:22" x14ac:dyDescent="0.35">
      <c r="A195" s="196"/>
      <c r="B195" s="196"/>
      <c r="C195" s="196"/>
      <c r="D195" s="196"/>
      <c r="E195" s="196"/>
      <c r="F195" s="196"/>
      <c r="G195" s="196"/>
      <c r="H195" s="196"/>
      <c r="I195" s="196"/>
      <c r="J195" s="196"/>
      <c r="K195" s="196"/>
      <c r="L195" s="196"/>
      <c r="M195" s="196"/>
      <c r="N195" s="196"/>
      <c r="O195" s="196"/>
      <c r="P195" s="14"/>
      <c r="Q195" s="14"/>
      <c r="R195" s="14"/>
      <c r="S195" s="14"/>
      <c r="T195" s="14"/>
      <c r="U195" s="14"/>
      <c r="V195" s="14"/>
    </row>
    <row r="196" spans="1:22" x14ac:dyDescent="0.35">
      <c r="A196" s="196"/>
      <c r="B196" s="196"/>
      <c r="C196" s="196"/>
      <c r="D196" s="196"/>
      <c r="E196" s="196"/>
      <c r="F196" s="196"/>
      <c r="G196" s="196"/>
      <c r="H196" s="196"/>
      <c r="I196" s="196"/>
      <c r="J196" s="196"/>
      <c r="K196" s="196"/>
      <c r="L196" s="196"/>
      <c r="M196" s="196"/>
      <c r="N196" s="196"/>
      <c r="O196" s="196"/>
      <c r="P196" s="14"/>
      <c r="Q196" s="14"/>
      <c r="R196" s="14"/>
      <c r="S196" s="14"/>
      <c r="T196" s="14"/>
      <c r="U196" s="14"/>
      <c r="V196" s="14"/>
    </row>
    <row r="197" spans="1:22" x14ac:dyDescent="0.35">
      <c r="A197" s="196"/>
      <c r="B197" s="196"/>
      <c r="C197" s="196"/>
      <c r="D197" s="196"/>
      <c r="E197" s="196"/>
      <c r="F197" s="196"/>
      <c r="G197" s="196"/>
      <c r="H197" s="196"/>
      <c r="I197" s="196"/>
      <c r="J197" s="196"/>
      <c r="K197" s="196"/>
      <c r="L197" s="196"/>
      <c r="M197" s="196"/>
      <c r="N197" s="196"/>
      <c r="O197" s="196"/>
      <c r="P197" s="14"/>
      <c r="Q197" s="14"/>
      <c r="R197" s="14"/>
      <c r="S197" s="14"/>
      <c r="T197" s="14"/>
      <c r="U197" s="14"/>
      <c r="V197" s="14"/>
    </row>
    <row r="198" spans="1:22" x14ac:dyDescent="0.35">
      <c r="A198" s="196"/>
      <c r="B198" s="196"/>
      <c r="C198" s="196"/>
      <c r="D198" s="196"/>
      <c r="E198" s="196"/>
      <c r="F198" s="196"/>
      <c r="G198" s="196"/>
      <c r="H198" s="196"/>
      <c r="I198" s="196"/>
      <c r="J198" s="196"/>
      <c r="K198" s="196"/>
      <c r="L198" s="196"/>
      <c r="M198" s="196"/>
      <c r="N198" s="196"/>
      <c r="O198" s="196"/>
      <c r="P198" s="14"/>
      <c r="Q198" s="14"/>
      <c r="R198" s="14"/>
      <c r="S198" s="14"/>
      <c r="T198" s="14"/>
      <c r="U198" s="14"/>
      <c r="V198" s="14"/>
    </row>
    <row r="199" spans="1:22" x14ac:dyDescent="0.35">
      <c r="A199" s="196"/>
      <c r="B199" s="196"/>
      <c r="C199" s="196"/>
      <c r="D199" s="196"/>
      <c r="E199" s="196"/>
      <c r="F199" s="196"/>
      <c r="G199" s="196"/>
      <c r="H199" s="196"/>
      <c r="I199" s="196"/>
      <c r="J199" s="196"/>
      <c r="K199" s="196"/>
      <c r="L199" s="196"/>
      <c r="M199" s="196"/>
      <c r="N199" s="196"/>
      <c r="O199" s="196"/>
      <c r="P199" s="14"/>
      <c r="Q199" s="14"/>
      <c r="R199" s="14"/>
      <c r="S199" s="14"/>
      <c r="T199" s="14"/>
      <c r="U199" s="14"/>
      <c r="V199" s="14"/>
    </row>
    <row r="200" spans="1:22" x14ac:dyDescent="0.35">
      <c r="A200" s="196"/>
      <c r="B200" s="196"/>
      <c r="C200" s="196"/>
      <c r="D200" s="196"/>
      <c r="E200" s="196"/>
      <c r="F200" s="196"/>
      <c r="G200" s="196"/>
      <c r="H200" s="196"/>
      <c r="I200" s="196"/>
      <c r="J200" s="196"/>
      <c r="K200" s="196"/>
      <c r="L200" s="196"/>
      <c r="M200" s="196"/>
      <c r="N200" s="196"/>
      <c r="O200" s="196"/>
      <c r="P200" s="14"/>
      <c r="Q200" s="14"/>
      <c r="R200" s="14"/>
      <c r="S200" s="14"/>
      <c r="T200" s="14"/>
      <c r="U200" s="14"/>
      <c r="V200" s="14"/>
    </row>
    <row r="201" spans="1:22" x14ac:dyDescent="0.35">
      <c r="A201" s="196"/>
      <c r="B201" s="196"/>
      <c r="C201" s="196"/>
      <c r="D201" s="196"/>
      <c r="E201" s="196"/>
      <c r="F201" s="196"/>
      <c r="G201" s="196"/>
      <c r="H201" s="196"/>
      <c r="I201" s="196"/>
      <c r="J201" s="196"/>
      <c r="K201" s="196"/>
      <c r="L201" s="196"/>
      <c r="M201" s="196"/>
      <c r="N201" s="196"/>
      <c r="O201" s="196"/>
      <c r="P201" s="14"/>
      <c r="Q201" s="14"/>
      <c r="R201" s="14"/>
      <c r="S201" s="14"/>
      <c r="T201" s="14"/>
      <c r="U201" s="14"/>
      <c r="V201" s="14"/>
    </row>
    <row r="202" spans="1:22" x14ac:dyDescent="0.35">
      <c r="A202" s="196"/>
      <c r="B202" s="196"/>
      <c r="C202" s="196"/>
      <c r="D202" s="196"/>
      <c r="E202" s="196"/>
      <c r="F202" s="196"/>
      <c r="G202" s="196"/>
      <c r="H202" s="196"/>
      <c r="I202" s="196"/>
      <c r="J202" s="196"/>
      <c r="K202" s="196"/>
      <c r="L202" s="196"/>
      <c r="M202" s="196"/>
      <c r="N202" s="196"/>
      <c r="O202" s="196"/>
      <c r="P202" s="14"/>
      <c r="Q202" s="14"/>
      <c r="R202" s="14"/>
      <c r="S202" s="14"/>
      <c r="T202" s="14"/>
      <c r="U202" s="14"/>
      <c r="V202" s="14"/>
    </row>
    <row r="203" spans="1:22" x14ac:dyDescent="0.35">
      <c r="A203" s="196"/>
      <c r="B203" s="196"/>
      <c r="C203" s="196"/>
      <c r="D203" s="196"/>
      <c r="E203" s="196"/>
      <c r="F203" s="196"/>
      <c r="G203" s="196"/>
      <c r="H203" s="196"/>
      <c r="I203" s="196"/>
      <c r="J203" s="196"/>
      <c r="K203" s="196"/>
      <c r="L203" s="196"/>
      <c r="M203" s="196"/>
      <c r="N203" s="196"/>
      <c r="O203" s="196"/>
      <c r="P203" s="14"/>
      <c r="Q203" s="14"/>
      <c r="R203" s="14"/>
      <c r="S203" s="14"/>
      <c r="T203" s="14"/>
      <c r="U203" s="14"/>
      <c r="V203" s="14"/>
    </row>
    <row r="204" spans="1:22" x14ac:dyDescent="0.35">
      <c r="A204" s="196"/>
      <c r="B204" s="196"/>
      <c r="C204" s="196"/>
      <c r="D204" s="196"/>
      <c r="E204" s="196"/>
      <c r="F204" s="196"/>
      <c r="G204" s="196"/>
      <c r="H204" s="196"/>
      <c r="I204" s="196"/>
      <c r="J204" s="196"/>
      <c r="K204" s="196"/>
      <c r="L204" s="196"/>
      <c r="M204" s="196"/>
      <c r="N204" s="196"/>
      <c r="O204" s="196"/>
      <c r="P204" s="14"/>
      <c r="Q204" s="14"/>
      <c r="R204" s="14"/>
      <c r="S204" s="14"/>
      <c r="T204" s="14"/>
      <c r="U204" s="14"/>
      <c r="V204" s="14"/>
    </row>
    <row r="205" spans="1:22" x14ac:dyDescent="0.35">
      <c r="A205" s="196"/>
      <c r="B205" s="196"/>
      <c r="C205" s="196"/>
      <c r="D205" s="196"/>
      <c r="E205" s="196"/>
      <c r="F205" s="196"/>
      <c r="G205" s="196"/>
      <c r="H205" s="196"/>
      <c r="I205" s="196"/>
      <c r="J205" s="196"/>
      <c r="K205" s="196"/>
      <c r="L205" s="196"/>
      <c r="M205" s="196"/>
      <c r="N205" s="196"/>
      <c r="O205" s="196"/>
      <c r="P205" s="14"/>
      <c r="Q205" s="14"/>
      <c r="R205" s="14"/>
      <c r="S205" s="14"/>
      <c r="T205" s="14"/>
      <c r="U205" s="14"/>
      <c r="V205" s="14"/>
    </row>
    <row r="206" spans="1:22" x14ac:dyDescent="0.35">
      <c r="A206" s="196"/>
      <c r="B206" s="196"/>
      <c r="C206" s="196"/>
      <c r="D206" s="196"/>
      <c r="E206" s="196"/>
      <c r="F206" s="196"/>
      <c r="G206" s="196"/>
      <c r="H206" s="196"/>
      <c r="I206" s="196"/>
      <c r="J206" s="196"/>
      <c r="K206" s="196"/>
      <c r="L206" s="196"/>
      <c r="M206" s="196"/>
      <c r="N206" s="196"/>
      <c r="O206" s="196"/>
      <c r="P206" s="14"/>
      <c r="Q206" s="14"/>
      <c r="R206" s="14"/>
      <c r="S206" s="14"/>
      <c r="T206" s="14"/>
      <c r="U206" s="14"/>
      <c r="V206" s="14"/>
    </row>
    <row r="207" spans="1:22" x14ac:dyDescent="0.35">
      <c r="A207" s="196"/>
      <c r="B207" s="196"/>
      <c r="C207" s="196"/>
      <c r="D207" s="196"/>
      <c r="E207" s="196"/>
      <c r="F207" s="196"/>
      <c r="G207" s="196"/>
      <c r="H207" s="196"/>
      <c r="I207" s="196"/>
      <c r="J207" s="196"/>
      <c r="K207" s="196"/>
      <c r="L207" s="196"/>
      <c r="M207" s="196"/>
      <c r="N207" s="196"/>
      <c r="O207" s="196"/>
      <c r="P207" s="14"/>
      <c r="Q207" s="14"/>
      <c r="R207" s="14"/>
      <c r="S207" s="14"/>
      <c r="T207" s="14"/>
      <c r="U207" s="14"/>
      <c r="V207" s="14"/>
    </row>
    <row r="208" spans="1:22" x14ac:dyDescent="0.35">
      <c r="A208" s="196"/>
      <c r="B208" s="196"/>
      <c r="C208" s="196"/>
      <c r="D208" s="196"/>
      <c r="E208" s="196"/>
      <c r="F208" s="196"/>
      <c r="G208" s="196"/>
      <c r="H208" s="196"/>
      <c r="I208" s="196"/>
      <c r="J208" s="196"/>
      <c r="K208" s="196"/>
      <c r="L208" s="196"/>
      <c r="M208" s="196"/>
      <c r="N208" s="196"/>
      <c r="O208" s="196"/>
      <c r="P208" s="14"/>
      <c r="Q208" s="14"/>
      <c r="R208" s="14"/>
      <c r="S208" s="14"/>
      <c r="T208" s="14"/>
      <c r="U208" s="14"/>
      <c r="V208" s="14"/>
    </row>
    <row r="209" spans="1:22" x14ac:dyDescent="0.35">
      <c r="A209" s="196"/>
      <c r="B209" s="196"/>
      <c r="C209" s="196"/>
      <c r="D209" s="196"/>
      <c r="E209" s="196"/>
      <c r="F209" s="196"/>
      <c r="G209" s="196"/>
      <c r="H209" s="196"/>
      <c r="I209" s="196"/>
      <c r="J209" s="196"/>
      <c r="K209" s="196"/>
      <c r="L209" s="196"/>
      <c r="M209" s="196"/>
      <c r="N209" s="196"/>
      <c r="O209" s="196"/>
      <c r="P209" s="14"/>
      <c r="Q209" s="14"/>
      <c r="R209" s="14"/>
      <c r="S209" s="14"/>
      <c r="T209" s="14"/>
      <c r="U209" s="14"/>
      <c r="V209" s="14"/>
    </row>
    <row r="210" spans="1:22" x14ac:dyDescent="0.35">
      <c r="A210" s="196"/>
      <c r="B210" s="196"/>
      <c r="C210" s="196"/>
      <c r="D210" s="196"/>
      <c r="E210" s="196"/>
      <c r="F210" s="196"/>
      <c r="G210" s="196"/>
      <c r="H210" s="196"/>
      <c r="I210" s="196"/>
      <c r="J210" s="196"/>
      <c r="K210" s="196"/>
      <c r="L210" s="196"/>
      <c r="M210" s="196"/>
      <c r="N210" s="196"/>
      <c r="O210" s="196"/>
      <c r="P210" s="14"/>
      <c r="Q210" s="14"/>
      <c r="R210" s="14"/>
      <c r="S210" s="14"/>
      <c r="T210" s="14"/>
      <c r="U210" s="14"/>
      <c r="V210" s="14"/>
    </row>
    <row r="211" spans="1:22" x14ac:dyDescent="0.35">
      <c r="A211" s="14"/>
      <c r="B211" s="14"/>
      <c r="C211" s="14"/>
      <c r="D211" s="14"/>
      <c r="E211" s="14"/>
      <c r="F211" s="14"/>
      <c r="G211" s="14"/>
      <c r="H211" s="14"/>
      <c r="I211" s="14"/>
      <c r="J211" s="14"/>
      <c r="K211" s="14"/>
      <c r="L211" s="14"/>
      <c r="M211" s="14"/>
      <c r="N211" s="14"/>
      <c r="O211" s="14"/>
      <c r="P211" s="14"/>
      <c r="Q211" s="14"/>
      <c r="R211" s="14"/>
      <c r="S211" s="14"/>
      <c r="T211" s="14"/>
      <c r="U211" s="14"/>
      <c r="V211" s="14"/>
    </row>
    <row r="212" spans="1:22" x14ac:dyDescent="0.35">
      <c r="A212" s="14"/>
      <c r="B212" s="14"/>
      <c r="C212" s="14"/>
      <c r="D212" s="14"/>
      <c r="E212" s="14"/>
      <c r="F212" s="14"/>
      <c r="G212" s="14"/>
      <c r="H212" s="14"/>
      <c r="I212" s="14"/>
      <c r="J212" s="14"/>
      <c r="K212" s="14"/>
      <c r="L212" s="14"/>
      <c r="M212" s="14"/>
      <c r="N212" s="14"/>
      <c r="O212" s="14"/>
      <c r="P212" s="14"/>
      <c r="Q212" s="14"/>
      <c r="R212" s="14"/>
      <c r="S212" s="14"/>
      <c r="T212" s="14"/>
      <c r="U212" s="14"/>
      <c r="V212" s="14"/>
    </row>
    <row r="213" spans="1:22" ht="15" customHeight="1" x14ac:dyDescent="0.35">
      <c r="A213" s="196"/>
      <c r="B213" s="196"/>
      <c r="C213" s="196"/>
      <c r="D213" s="196"/>
      <c r="E213" s="196"/>
      <c r="F213" s="196"/>
      <c r="G213" s="196"/>
      <c r="H213" s="196"/>
      <c r="I213" s="196"/>
      <c r="J213" s="196"/>
      <c r="K213" s="196"/>
      <c r="L213" s="196"/>
      <c r="M213" s="196"/>
      <c r="N213" s="196"/>
      <c r="O213" s="196"/>
      <c r="P213" s="14"/>
      <c r="Q213" s="14"/>
      <c r="R213" s="14"/>
      <c r="S213" s="14"/>
      <c r="T213" s="14"/>
      <c r="U213" s="14"/>
      <c r="V213" s="14"/>
    </row>
    <row r="214" spans="1:22" x14ac:dyDescent="0.35">
      <c r="A214" s="196"/>
      <c r="B214" s="196"/>
      <c r="C214" s="196"/>
      <c r="D214" s="196"/>
      <c r="E214" s="196"/>
      <c r="F214" s="196"/>
      <c r="G214" s="196"/>
      <c r="H214" s="196"/>
      <c r="I214" s="196"/>
      <c r="J214" s="196"/>
      <c r="K214" s="196"/>
      <c r="L214" s="196"/>
      <c r="M214" s="196"/>
      <c r="N214" s="196"/>
      <c r="O214" s="196"/>
      <c r="P214" s="14"/>
      <c r="Q214" s="14"/>
      <c r="R214" s="14"/>
      <c r="S214" s="14"/>
      <c r="T214" s="14"/>
      <c r="U214" s="14"/>
      <c r="V214" s="14"/>
    </row>
    <row r="215" spans="1:22" x14ac:dyDescent="0.35">
      <c r="A215" s="196"/>
      <c r="B215" s="196"/>
      <c r="C215" s="196"/>
      <c r="D215" s="196"/>
      <c r="E215" s="196"/>
      <c r="F215" s="196"/>
      <c r="G215" s="196"/>
      <c r="H215" s="196"/>
      <c r="I215" s="196"/>
      <c r="J215" s="196"/>
      <c r="K215" s="196"/>
      <c r="L215" s="196"/>
      <c r="M215" s="196"/>
      <c r="N215" s="196"/>
      <c r="O215" s="196"/>
      <c r="P215" s="14"/>
      <c r="Q215" s="14"/>
      <c r="R215" s="14"/>
      <c r="S215" s="14"/>
      <c r="T215" s="14"/>
      <c r="U215" s="14"/>
      <c r="V215" s="14"/>
    </row>
    <row r="216" spans="1:22" x14ac:dyDescent="0.35">
      <c r="A216" s="196"/>
      <c r="B216" s="196"/>
      <c r="C216" s="196"/>
      <c r="D216" s="196"/>
      <c r="E216" s="196"/>
      <c r="F216" s="196"/>
      <c r="G216" s="196"/>
      <c r="H216" s="196"/>
      <c r="I216" s="196"/>
      <c r="J216" s="196"/>
      <c r="K216" s="196"/>
      <c r="L216" s="196"/>
      <c r="M216" s="196"/>
      <c r="N216" s="196"/>
      <c r="O216" s="196"/>
      <c r="P216" s="14"/>
      <c r="Q216" s="14"/>
      <c r="R216" s="14"/>
      <c r="S216" s="14"/>
      <c r="T216" s="14"/>
      <c r="U216" s="14"/>
      <c r="V216" s="14"/>
    </row>
    <row r="217" spans="1:22" x14ac:dyDescent="0.35">
      <c r="A217" s="196"/>
      <c r="B217" s="196"/>
      <c r="C217" s="196"/>
      <c r="D217" s="196"/>
      <c r="E217" s="196"/>
      <c r="F217" s="196"/>
      <c r="G217" s="196"/>
      <c r="H217" s="196"/>
      <c r="I217" s="196"/>
      <c r="J217" s="196"/>
      <c r="K217" s="196"/>
      <c r="L217" s="196"/>
      <c r="M217" s="196"/>
      <c r="N217" s="196"/>
      <c r="O217" s="196"/>
      <c r="P217" s="14"/>
      <c r="Q217" s="14"/>
      <c r="R217" s="14"/>
      <c r="S217" s="14"/>
      <c r="T217" s="14"/>
      <c r="U217" s="14"/>
      <c r="V217" s="14"/>
    </row>
    <row r="218" spans="1:22" x14ac:dyDescent="0.35">
      <c r="A218" s="196"/>
      <c r="B218" s="196"/>
      <c r="C218" s="196"/>
      <c r="D218" s="196"/>
      <c r="E218" s="196"/>
      <c r="F218" s="196"/>
      <c r="G218" s="196"/>
      <c r="H218" s="196"/>
      <c r="I218" s="196"/>
      <c r="J218" s="196"/>
      <c r="K218" s="196"/>
      <c r="L218" s="196"/>
      <c r="M218" s="196"/>
      <c r="N218" s="196"/>
      <c r="O218" s="196"/>
      <c r="P218" s="14"/>
      <c r="Q218" s="14"/>
      <c r="R218" s="14"/>
      <c r="S218" s="14"/>
      <c r="T218" s="14"/>
      <c r="U218" s="14"/>
      <c r="V218" s="14"/>
    </row>
    <row r="219" spans="1:22" x14ac:dyDescent="0.35">
      <c r="A219" s="196"/>
      <c r="B219" s="196"/>
      <c r="C219" s="196"/>
      <c r="D219" s="196"/>
      <c r="E219" s="196"/>
      <c r="F219" s="196"/>
      <c r="G219" s="196"/>
      <c r="H219" s="196"/>
      <c r="I219" s="196"/>
      <c r="J219" s="196"/>
      <c r="K219" s="196"/>
      <c r="L219" s="196"/>
      <c r="M219" s="196"/>
      <c r="N219" s="196"/>
      <c r="O219" s="196"/>
      <c r="P219" s="14"/>
      <c r="Q219" s="14"/>
      <c r="R219" s="14"/>
      <c r="S219" s="14"/>
      <c r="T219" s="14"/>
      <c r="U219" s="14"/>
      <c r="V219" s="14"/>
    </row>
    <row r="220" spans="1:22" x14ac:dyDescent="0.35">
      <c r="A220" s="196"/>
      <c r="B220" s="196"/>
      <c r="C220" s="196"/>
      <c r="D220" s="196"/>
      <c r="E220" s="196"/>
      <c r="F220" s="196"/>
      <c r="G220" s="196"/>
      <c r="H220" s="196"/>
      <c r="I220" s="196"/>
      <c r="J220" s="196"/>
      <c r="K220" s="196"/>
      <c r="L220" s="196"/>
      <c r="M220" s="196"/>
      <c r="N220" s="196"/>
      <c r="O220" s="196"/>
      <c r="P220" s="14"/>
      <c r="Q220" s="14"/>
      <c r="R220" s="14"/>
      <c r="S220" s="14"/>
      <c r="T220" s="14"/>
      <c r="U220" s="14"/>
      <c r="V220" s="14"/>
    </row>
    <row r="221" spans="1:22" x14ac:dyDescent="0.35">
      <c r="A221" s="196"/>
      <c r="B221" s="196"/>
      <c r="C221" s="196"/>
      <c r="D221" s="196"/>
      <c r="E221" s="196"/>
      <c r="F221" s="196"/>
      <c r="G221" s="196"/>
      <c r="H221" s="196"/>
      <c r="I221" s="196"/>
      <c r="J221" s="196"/>
      <c r="K221" s="196"/>
      <c r="L221" s="196"/>
      <c r="M221" s="196"/>
      <c r="N221" s="196"/>
      <c r="O221" s="196"/>
      <c r="P221" s="14"/>
      <c r="Q221" s="14"/>
      <c r="R221" s="14"/>
      <c r="S221" s="14"/>
      <c r="T221" s="14"/>
      <c r="U221" s="14"/>
      <c r="V221" s="14"/>
    </row>
    <row r="222" spans="1:22" x14ac:dyDescent="0.35">
      <c r="A222" s="196"/>
      <c r="B222" s="196"/>
      <c r="C222" s="196"/>
      <c r="D222" s="196"/>
      <c r="E222" s="196"/>
      <c r="F222" s="196"/>
      <c r="G222" s="196"/>
      <c r="H222" s="196"/>
      <c r="I222" s="196"/>
      <c r="J222" s="196"/>
      <c r="K222" s="196"/>
      <c r="L222" s="196"/>
      <c r="M222" s="196"/>
      <c r="N222" s="196"/>
      <c r="O222" s="196"/>
      <c r="P222" s="14"/>
      <c r="Q222" s="14"/>
      <c r="R222" s="14"/>
      <c r="S222" s="14"/>
      <c r="T222" s="14"/>
      <c r="U222" s="14"/>
      <c r="V222" s="14"/>
    </row>
    <row r="223" spans="1:22" x14ac:dyDescent="0.35">
      <c r="A223" s="196"/>
      <c r="B223" s="196"/>
      <c r="C223" s="196"/>
      <c r="D223" s="196"/>
      <c r="E223" s="196"/>
      <c r="F223" s="196"/>
      <c r="G223" s="196"/>
      <c r="H223" s="196"/>
      <c r="I223" s="196"/>
      <c r="J223" s="196"/>
      <c r="K223" s="196"/>
      <c r="L223" s="196"/>
      <c r="M223" s="196"/>
      <c r="N223" s="196"/>
      <c r="O223" s="196"/>
      <c r="P223" s="14"/>
      <c r="Q223" s="14"/>
      <c r="R223" s="14"/>
      <c r="S223" s="14"/>
      <c r="T223" s="14"/>
      <c r="U223" s="14"/>
      <c r="V223" s="14"/>
    </row>
    <row r="224" spans="1:22" x14ac:dyDescent="0.35">
      <c r="A224" s="14"/>
      <c r="B224" s="14"/>
      <c r="C224" s="14"/>
      <c r="D224" s="14"/>
      <c r="E224" s="14"/>
      <c r="F224" s="14"/>
      <c r="G224" s="14"/>
      <c r="H224" s="14"/>
      <c r="I224" s="14"/>
      <c r="J224" s="14"/>
      <c r="K224" s="14"/>
      <c r="L224" s="14"/>
      <c r="M224" s="14"/>
      <c r="N224" s="14"/>
      <c r="O224" s="14"/>
      <c r="P224" s="14"/>
      <c r="Q224" s="14"/>
      <c r="R224" s="14"/>
      <c r="S224" s="14"/>
      <c r="T224" s="14"/>
      <c r="U224" s="14"/>
      <c r="V224" s="14"/>
    </row>
    <row r="225" spans="1:22" x14ac:dyDescent="0.35">
      <c r="A225" s="14"/>
      <c r="B225" s="14"/>
      <c r="C225" s="14"/>
      <c r="D225" s="14"/>
      <c r="E225" s="14"/>
      <c r="F225" s="14"/>
      <c r="G225" s="14"/>
      <c r="H225" s="14"/>
      <c r="I225" s="14"/>
      <c r="J225" s="14"/>
      <c r="K225" s="14"/>
      <c r="L225" s="14"/>
      <c r="M225" s="14"/>
      <c r="N225" s="14"/>
      <c r="O225" s="14"/>
      <c r="P225" s="14"/>
      <c r="Q225" s="14"/>
      <c r="R225" s="14"/>
      <c r="S225" s="14"/>
      <c r="T225" s="14"/>
      <c r="U225" s="14"/>
      <c r="V225" s="14"/>
    </row>
    <row r="226" spans="1:22" x14ac:dyDescent="0.35">
      <c r="P226" s="14"/>
      <c r="Q226" s="14"/>
      <c r="R226" s="14"/>
      <c r="S226" s="14"/>
      <c r="T226" s="14"/>
      <c r="U226" s="14"/>
      <c r="V226" s="14"/>
    </row>
    <row r="227" spans="1:22" x14ac:dyDescent="0.35">
      <c r="P227" s="14"/>
      <c r="Q227" s="14"/>
      <c r="R227" s="14"/>
      <c r="S227" s="14"/>
      <c r="T227" s="14"/>
      <c r="U227" s="14"/>
      <c r="V227" s="14"/>
    </row>
    <row r="228" spans="1:22" x14ac:dyDescent="0.35">
      <c r="P228" s="14"/>
      <c r="Q228" s="14"/>
      <c r="R228" s="14"/>
      <c r="S228" s="14"/>
      <c r="T228" s="14"/>
      <c r="U228" s="14"/>
      <c r="V228" s="14"/>
    </row>
    <row r="229" spans="1:22" x14ac:dyDescent="0.35">
      <c r="P229" s="14"/>
      <c r="Q229" s="14"/>
      <c r="R229" s="14"/>
      <c r="S229" s="14"/>
      <c r="T229" s="14"/>
      <c r="U229" s="14"/>
      <c r="V229" s="14"/>
    </row>
    <row r="230" spans="1:22" x14ac:dyDescent="0.35">
      <c r="P230" s="14"/>
      <c r="Q230" s="14"/>
      <c r="R230" s="14"/>
      <c r="S230" s="14"/>
      <c r="T230" s="14"/>
      <c r="U230" s="14"/>
      <c r="V230" s="14"/>
    </row>
    <row r="231" spans="1:22" x14ac:dyDescent="0.35">
      <c r="P231" s="14"/>
      <c r="Q231" s="14"/>
      <c r="R231" s="14"/>
      <c r="S231" s="14"/>
      <c r="T231" s="14"/>
      <c r="U231" s="14"/>
      <c r="V231" s="14"/>
    </row>
    <row r="232" spans="1:22" x14ac:dyDescent="0.35">
      <c r="P232" s="14"/>
      <c r="Q232" s="14"/>
      <c r="R232" s="14"/>
      <c r="S232" s="14"/>
      <c r="T232" s="14"/>
      <c r="U232" s="14"/>
      <c r="V232" s="14"/>
    </row>
    <row r="233" spans="1:22" x14ac:dyDescent="0.35">
      <c r="P233" s="14"/>
      <c r="Q233" s="14"/>
      <c r="R233" s="14"/>
      <c r="S233" s="14"/>
      <c r="T233" s="14"/>
      <c r="U233" s="14"/>
      <c r="V233" s="14"/>
    </row>
    <row r="234" spans="1:22" x14ac:dyDescent="0.35">
      <c r="P234" s="14"/>
      <c r="Q234" s="14"/>
      <c r="R234" s="14"/>
      <c r="S234" s="14"/>
      <c r="T234" s="14"/>
      <c r="U234" s="14"/>
      <c r="V234" s="14"/>
    </row>
    <row r="235" spans="1:22" x14ac:dyDescent="0.35">
      <c r="P235" s="14"/>
      <c r="Q235" s="14"/>
      <c r="R235" s="14"/>
      <c r="S235" s="14"/>
      <c r="T235" s="14"/>
      <c r="U235" s="14"/>
      <c r="V235" s="14"/>
    </row>
    <row r="236" spans="1:22" x14ac:dyDescent="0.35">
      <c r="P236" s="14"/>
      <c r="Q236" s="14"/>
      <c r="R236" s="14"/>
      <c r="S236" s="14"/>
      <c r="T236" s="14"/>
      <c r="U236" s="14"/>
      <c r="V236" s="14"/>
    </row>
    <row r="237" spans="1:22" x14ac:dyDescent="0.35">
      <c r="P237" s="14"/>
      <c r="Q237" s="14"/>
      <c r="R237" s="14"/>
      <c r="S237" s="14"/>
      <c r="T237" s="14"/>
      <c r="U237" s="14"/>
      <c r="V237" s="14"/>
    </row>
    <row r="238" spans="1:22" x14ac:dyDescent="0.35">
      <c r="P238" s="14"/>
      <c r="Q238" s="14"/>
      <c r="R238" s="14"/>
      <c r="S238" s="14"/>
      <c r="T238" s="14"/>
      <c r="U238" s="14"/>
      <c r="V238" s="14"/>
    </row>
    <row r="239" spans="1:22" x14ac:dyDescent="0.35">
      <c r="P239" s="14"/>
      <c r="Q239" s="14"/>
      <c r="R239" s="14"/>
      <c r="S239" s="14"/>
      <c r="T239" s="14"/>
      <c r="U239" s="14"/>
      <c r="V239" s="14"/>
    </row>
    <row r="240" spans="1:22" x14ac:dyDescent="0.35">
      <c r="P240" s="14"/>
      <c r="Q240" s="14"/>
      <c r="R240" s="14"/>
      <c r="S240" s="14"/>
      <c r="T240" s="14"/>
      <c r="U240" s="14"/>
      <c r="V240" s="14"/>
    </row>
    <row r="241" spans="16:22" x14ac:dyDescent="0.35">
      <c r="P241" s="14"/>
      <c r="Q241" s="14"/>
      <c r="R241" s="14"/>
      <c r="S241" s="14"/>
      <c r="T241" s="14"/>
      <c r="U241" s="14"/>
      <c r="V241" s="14"/>
    </row>
    <row r="242" spans="16:22" x14ac:dyDescent="0.35">
      <c r="P242" s="14"/>
      <c r="Q242" s="14"/>
      <c r="R242" s="14"/>
      <c r="S242" s="14"/>
      <c r="T242" s="14"/>
      <c r="U242" s="14"/>
      <c r="V242" s="14"/>
    </row>
    <row r="243" spans="16:22" x14ac:dyDescent="0.35">
      <c r="P243" s="14"/>
      <c r="Q243" s="14"/>
      <c r="R243" s="14"/>
      <c r="S243" s="14"/>
      <c r="T243" s="14"/>
      <c r="U243" s="14"/>
      <c r="V243" s="14"/>
    </row>
    <row r="244" spans="16:22" x14ac:dyDescent="0.35">
      <c r="P244" s="14"/>
      <c r="Q244" s="14"/>
      <c r="R244" s="14"/>
      <c r="S244" s="14"/>
      <c r="T244" s="14"/>
      <c r="U244" s="14"/>
      <c r="V244" s="14"/>
    </row>
    <row r="245" spans="16:22" x14ac:dyDescent="0.35">
      <c r="P245" s="14"/>
      <c r="Q245" s="14"/>
      <c r="R245" s="14"/>
      <c r="S245" s="14"/>
      <c r="T245" s="14"/>
      <c r="U245" s="14"/>
      <c r="V245" s="14"/>
    </row>
    <row r="246" spans="16:22" x14ac:dyDescent="0.35">
      <c r="P246" s="14"/>
      <c r="Q246" s="14"/>
      <c r="R246" s="14"/>
      <c r="S246" s="14"/>
      <c r="T246" s="14"/>
      <c r="U246" s="14"/>
      <c r="V246" s="14"/>
    </row>
    <row r="247" spans="16:22" x14ac:dyDescent="0.35">
      <c r="P247" s="14"/>
      <c r="Q247" s="14"/>
      <c r="R247" s="14"/>
      <c r="S247" s="14"/>
      <c r="T247" s="14"/>
      <c r="U247" s="14"/>
      <c r="V247" s="14"/>
    </row>
    <row r="248" spans="16:22" x14ac:dyDescent="0.35">
      <c r="P248" s="14"/>
      <c r="Q248" s="14"/>
      <c r="R248" s="14"/>
      <c r="S248" s="14"/>
      <c r="T248" s="14"/>
      <c r="U248" s="14"/>
      <c r="V248" s="14"/>
    </row>
    <row r="249" spans="16:22" x14ac:dyDescent="0.35">
      <c r="P249" s="14"/>
      <c r="Q249" s="14"/>
      <c r="R249" s="14"/>
      <c r="S249" s="14"/>
      <c r="T249" s="14"/>
      <c r="U249" s="14"/>
      <c r="V249" s="14"/>
    </row>
    <row r="250" spans="16:22" x14ac:dyDescent="0.35">
      <c r="P250" s="14"/>
      <c r="Q250" s="14"/>
      <c r="R250" s="14"/>
      <c r="S250" s="14"/>
      <c r="T250" s="14"/>
      <c r="U250" s="14"/>
      <c r="V250" s="14"/>
    </row>
    <row r="251" spans="16:22" x14ac:dyDescent="0.35">
      <c r="P251" s="14"/>
      <c r="Q251" s="14"/>
      <c r="R251" s="14"/>
      <c r="S251" s="14"/>
      <c r="T251" s="14"/>
      <c r="U251" s="14"/>
      <c r="V251" s="14"/>
    </row>
    <row r="252" spans="16:22" x14ac:dyDescent="0.35">
      <c r="P252" s="14"/>
      <c r="Q252" s="14"/>
      <c r="R252" s="14"/>
      <c r="S252" s="14"/>
      <c r="T252" s="14"/>
      <c r="U252" s="14"/>
      <c r="V252" s="14"/>
    </row>
    <row r="253" spans="16:22" x14ac:dyDescent="0.35">
      <c r="P253" s="14"/>
      <c r="Q253" s="14"/>
      <c r="R253" s="14"/>
      <c r="S253" s="14"/>
      <c r="T253" s="14"/>
      <c r="U253" s="14"/>
      <c r="V253" s="14"/>
    </row>
    <row r="254" spans="16:22" x14ac:dyDescent="0.35">
      <c r="P254" s="14"/>
      <c r="Q254" s="14"/>
      <c r="R254" s="14"/>
      <c r="S254" s="14"/>
      <c r="T254" s="14"/>
      <c r="U254" s="14"/>
      <c r="V254" s="14"/>
    </row>
    <row r="255" spans="16:22" x14ac:dyDescent="0.35">
      <c r="P255" s="14"/>
      <c r="Q255" s="14"/>
      <c r="R255" s="14"/>
      <c r="S255" s="14"/>
      <c r="T255" s="14"/>
      <c r="U255" s="14"/>
      <c r="V255" s="14"/>
    </row>
    <row r="256" spans="16:22" x14ac:dyDescent="0.35">
      <c r="P256" s="14"/>
      <c r="Q256" s="14"/>
      <c r="R256" s="14"/>
      <c r="S256" s="14"/>
      <c r="T256" s="14"/>
      <c r="U256" s="14"/>
      <c r="V256" s="14"/>
    </row>
    <row r="257" spans="16:22" x14ac:dyDescent="0.35">
      <c r="P257" s="14"/>
      <c r="Q257" s="14"/>
      <c r="R257" s="14"/>
      <c r="S257" s="14"/>
      <c r="T257" s="14"/>
      <c r="U257" s="14"/>
      <c r="V257" s="14"/>
    </row>
    <row r="258" spans="16:22" x14ac:dyDescent="0.35">
      <c r="P258" s="14"/>
      <c r="Q258" s="14"/>
      <c r="R258" s="14"/>
      <c r="S258" s="14"/>
      <c r="T258" s="14"/>
      <c r="U258" s="14"/>
      <c r="V258" s="14"/>
    </row>
    <row r="259" spans="16:22" x14ac:dyDescent="0.35">
      <c r="P259" s="14"/>
      <c r="Q259" s="14"/>
      <c r="R259" s="14"/>
      <c r="S259" s="14"/>
      <c r="T259" s="14"/>
      <c r="U259" s="14"/>
      <c r="V259" s="14"/>
    </row>
    <row r="260" spans="16:22" x14ac:dyDescent="0.35">
      <c r="P260" s="14"/>
      <c r="Q260" s="14"/>
      <c r="R260" s="14"/>
      <c r="S260" s="14"/>
      <c r="T260" s="14"/>
      <c r="U260" s="14"/>
      <c r="V260" s="14"/>
    </row>
    <row r="261" spans="16:22" x14ac:dyDescent="0.35">
      <c r="P261" s="14"/>
      <c r="Q261" s="14"/>
      <c r="R261" s="14"/>
      <c r="S261" s="14"/>
      <c r="T261" s="14"/>
      <c r="U261" s="14"/>
      <c r="V261" s="14"/>
    </row>
    <row r="262" spans="16:22" x14ac:dyDescent="0.35">
      <c r="P262" s="14"/>
      <c r="Q262" s="14"/>
      <c r="R262" s="14"/>
      <c r="S262" s="14"/>
      <c r="T262" s="14"/>
      <c r="U262" s="14"/>
      <c r="V262" s="14"/>
    </row>
    <row r="263" spans="16:22" x14ac:dyDescent="0.35">
      <c r="P263" s="14"/>
      <c r="Q263" s="14"/>
      <c r="R263" s="14"/>
      <c r="S263" s="14"/>
      <c r="T263" s="14"/>
      <c r="U263" s="14"/>
      <c r="V263" s="14"/>
    </row>
    <row r="264" spans="16:22" x14ac:dyDescent="0.35">
      <c r="P264" s="14"/>
      <c r="Q264" s="14"/>
      <c r="R264" s="14"/>
      <c r="S264" s="14"/>
      <c r="T264" s="14"/>
      <c r="U264" s="14"/>
      <c r="V264" s="14"/>
    </row>
    <row r="265" spans="16:22" x14ac:dyDescent="0.35">
      <c r="P265" s="14"/>
      <c r="Q265" s="14"/>
      <c r="R265" s="14"/>
      <c r="S265" s="14"/>
      <c r="T265" s="14"/>
      <c r="U265" s="14"/>
      <c r="V265" s="14"/>
    </row>
    <row r="266" spans="16:22" x14ac:dyDescent="0.35">
      <c r="P266" s="14"/>
      <c r="Q266" s="14"/>
      <c r="R266" s="14"/>
      <c r="S266" s="14"/>
      <c r="T266" s="14"/>
      <c r="U266" s="14"/>
      <c r="V266" s="14"/>
    </row>
    <row r="267" spans="16:22" x14ac:dyDescent="0.35">
      <c r="P267" s="14"/>
      <c r="Q267" s="14"/>
      <c r="R267" s="14"/>
      <c r="S267" s="14"/>
      <c r="T267" s="14"/>
      <c r="U267" s="14"/>
      <c r="V267" s="14"/>
    </row>
    <row r="268" spans="16:22" x14ac:dyDescent="0.35">
      <c r="P268" s="14"/>
      <c r="Q268" s="14"/>
      <c r="R268" s="14"/>
      <c r="S268" s="14"/>
      <c r="T268" s="14"/>
      <c r="U268" s="14"/>
      <c r="V268" s="14"/>
    </row>
    <row r="269" spans="16:22" x14ac:dyDescent="0.35">
      <c r="P269" s="14"/>
      <c r="Q269" s="14"/>
      <c r="R269" s="14"/>
      <c r="S269" s="14"/>
      <c r="T269" s="14"/>
      <c r="U269" s="14"/>
      <c r="V269" s="14"/>
    </row>
    <row r="270" spans="16:22" x14ac:dyDescent="0.35">
      <c r="P270" s="14"/>
      <c r="Q270" s="14"/>
      <c r="R270" s="14"/>
      <c r="S270" s="14"/>
      <c r="T270" s="14"/>
      <c r="U270" s="14"/>
      <c r="V270" s="14"/>
    </row>
    <row r="271" spans="16:22" x14ac:dyDescent="0.35">
      <c r="P271" s="14"/>
      <c r="Q271" s="14"/>
      <c r="R271" s="14"/>
      <c r="S271" s="14"/>
      <c r="T271" s="14"/>
      <c r="U271" s="14"/>
      <c r="V271" s="14"/>
    </row>
    <row r="272" spans="16:22" x14ac:dyDescent="0.35">
      <c r="P272" s="14"/>
      <c r="Q272" s="14"/>
      <c r="R272" s="14"/>
      <c r="S272" s="14"/>
      <c r="T272" s="14"/>
      <c r="U272" s="14"/>
      <c r="V272" s="14"/>
    </row>
    <row r="273" spans="1:22" x14ac:dyDescent="0.35">
      <c r="P273" s="14"/>
      <c r="Q273" s="14"/>
      <c r="R273" s="14"/>
      <c r="S273" s="14"/>
      <c r="T273" s="14"/>
      <c r="U273" s="14"/>
      <c r="V273" s="14"/>
    </row>
    <row r="274" spans="1:22" x14ac:dyDescent="0.35">
      <c r="P274" s="14"/>
      <c r="Q274" s="14"/>
      <c r="R274" s="14"/>
      <c r="S274" s="14"/>
      <c r="T274" s="14"/>
      <c r="U274" s="14"/>
      <c r="V274" s="14"/>
    </row>
    <row r="275" spans="1:22" x14ac:dyDescent="0.35">
      <c r="P275" s="14"/>
      <c r="Q275" s="14"/>
      <c r="R275" s="14"/>
      <c r="S275" s="14"/>
      <c r="T275" s="14"/>
      <c r="U275" s="14"/>
      <c r="V275" s="14"/>
    </row>
    <row r="276" spans="1:22" x14ac:dyDescent="0.35">
      <c r="P276" s="14"/>
      <c r="Q276" s="14"/>
      <c r="R276" s="14"/>
      <c r="S276" s="14"/>
      <c r="T276" s="14"/>
      <c r="U276" s="14"/>
      <c r="V276" s="14"/>
    </row>
    <row r="277" spans="1:22" x14ac:dyDescent="0.35">
      <c r="P277" s="14"/>
      <c r="Q277" s="14"/>
      <c r="R277" s="14"/>
      <c r="S277" s="14"/>
      <c r="T277" s="14"/>
      <c r="U277" s="14"/>
      <c r="V277" s="14"/>
    </row>
    <row r="278" spans="1:22" x14ac:dyDescent="0.35">
      <c r="P278" s="14"/>
      <c r="Q278" s="14"/>
      <c r="R278" s="14"/>
      <c r="S278" s="14"/>
      <c r="T278" s="14"/>
      <c r="U278" s="14"/>
      <c r="V278" s="14"/>
    </row>
    <row r="279" spans="1:22" x14ac:dyDescent="0.35">
      <c r="P279" s="14"/>
      <c r="Q279" s="14"/>
      <c r="R279" s="14"/>
      <c r="S279" s="14"/>
      <c r="T279" s="14"/>
      <c r="U279" s="14"/>
      <c r="V279" s="14"/>
    </row>
    <row r="280" spans="1:22" x14ac:dyDescent="0.35">
      <c r="P280" s="14"/>
      <c r="Q280" s="14"/>
      <c r="R280" s="14"/>
      <c r="S280" s="14"/>
      <c r="T280" s="14"/>
      <c r="U280" s="14"/>
      <c r="V280" s="14"/>
    </row>
    <row r="281" spans="1:22" x14ac:dyDescent="0.35">
      <c r="P281" s="14"/>
      <c r="Q281" s="14"/>
      <c r="R281" s="14"/>
      <c r="S281" s="14"/>
      <c r="T281" s="14"/>
      <c r="U281" s="14"/>
      <c r="V281" s="14"/>
    </row>
    <row r="282" spans="1:22" x14ac:dyDescent="0.35">
      <c r="P282" s="14"/>
      <c r="Q282" s="14"/>
      <c r="R282" s="14"/>
      <c r="S282" s="14"/>
      <c r="T282" s="14"/>
      <c r="U282" s="14"/>
      <c r="V282" s="14"/>
    </row>
    <row r="283" spans="1:22" x14ac:dyDescent="0.35">
      <c r="P283" s="14"/>
      <c r="Q283" s="14"/>
      <c r="R283" s="14"/>
      <c r="S283" s="14"/>
      <c r="T283" s="14"/>
      <c r="U283" s="14"/>
      <c r="V283" s="14"/>
    </row>
    <row r="284" spans="1:22" x14ac:dyDescent="0.35">
      <c r="P284" s="14"/>
      <c r="Q284" s="14"/>
      <c r="R284" s="14"/>
      <c r="S284" s="14"/>
      <c r="T284" s="14"/>
      <c r="U284" s="14"/>
      <c r="V284" s="14"/>
    </row>
    <row r="285" spans="1:22" x14ac:dyDescent="0.35">
      <c r="P285" s="14"/>
      <c r="Q285" s="14"/>
      <c r="R285" s="14"/>
      <c r="S285" s="14"/>
      <c r="T285" s="14"/>
      <c r="U285" s="14"/>
      <c r="V285" s="14"/>
    </row>
    <row r="286" spans="1:22" x14ac:dyDescent="0.35">
      <c r="P286" s="14"/>
      <c r="Q286" s="14"/>
      <c r="R286" s="14"/>
      <c r="S286" s="14"/>
      <c r="T286" s="14"/>
      <c r="U286" s="14"/>
      <c r="V286" s="14"/>
    </row>
    <row r="287" spans="1:22" x14ac:dyDescent="0.35">
      <c r="P287" s="14"/>
      <c r="Q287" s="14"/>
      <c r="R287" s="14"/>
      <c r="S287" s="14"/>
      <c r="T287" s="14"/>
      <c r="U287" s="14"/>
      <c r="V287" s="14"/>
    </row>
    <row r="288" spans="1:22" x14ac:dyDescent="0.35">
      <c r="A288" s="14"/>
      <c r="B288" s="14"/>
      <c r="C288" s="14"/>
      <c r="D288" s="14"/>
      <c r="E288" s="14"/>
      <c r="F288" s="14"/>
      <c r="G288" s="14"/>
      <c r="H288" s="14"/>
      <c r="I288" s="14"/>
      <c r="J288" s="14"/>
      <c r="K288" s="14"/>
      <c r="L288" s="14"/>
      <c r="M288" s="14"/>
      <c r="N288" s="14"/>
      <c r="O288" s="14"/>
      <c r="P288" s="14"/>
      <c r="Q288" s="14"/>
      <c r="R288" s="14"/>
      <c r="S288" s="14"/>
      <c r="T288" s="14"/>
      <c r="U288" s="14"/>
      <c r="V288" s="14"/>
    </row>
    <row r="289" spans="1:22" x14ac:dyDescent="0.35">
      <c r="A289" s="14"/>
      <c r="B289" s="14"/>
      <c r="C289" s="14"/>
      <c r="D289" s="14"/>
      <c r="E289" s="14"/>
      <c r="F289" s="14"/>
      <c r="G289" s="14"/>
      <c r="H289" s="14"/>
      <c r="I289" s="14"/>
      <c r="J289" s="14"/>
      <c r="K289" s="14"/>
      <c r="L289" s="14"/>
      <c r="M289" s="14"/>
      <c r="N289" s="14"/>
      <c r="O289" s="14"/>
      <c r="P289" s="14"/>
      <c r="Q289" s="14"/>
      <c r="R289" s="14"/>
      <c r="S289" s="14"/>
      <c r="T289" s="14"/>
      <c r="U289" s="14"/>
      <c r="V289" s="14"/>
    </row>
    <row r="290" spans="1:22" x14ac:dyDescent="0.35">
      <c r="A290" s="14"/>
      <c r="B290" s="14"/>
      <c r="C290" s="14"/>
      <c r="D290" s="14"/>
      <c r="E290" s="14"/>
      <c r="F290" s="14"/>
      <c r="G290" s="14"/>
      <c r="H290" s="14"/>
      <c r="I290" s="14"/>
      <c r="J290" s="14"/>
      <c r="K290" s="14"/>
      <c r="L290" s="14"/>
      <c r="M290" s="14"/>
      <c r="N290" s="14"/>
      <c r="O290" s="14"/>
      <c r="P290" s="14"/>
      <c r="Q290" s="14"/>
      <c r="R290" s="14"/>
      <c r="S290" s="14"/>
      <c r="T290" s="14"/>
      <c r="U290" s="14"/>
      <c r="V290" s="14"/>
    </row>
    <row r="291" spans="1:22" x14ac:dyDescent="0.35">
      <c r="P291" s="14"/>
      <c r="Q291" s="14"/>
      <c r="R291" s="14"/>
      <c r="S291" s="14"/>
      <c r="T291" s="14"/>
      <c r="U291" s="14"/>
      <c r="V291" s="14"/>
    </row>
    <row r="292" spans="1:22" x14ac:dyDescent="0.35">
      <c r="P292" s="14"/>
      <c r="Q292" s="14"/>
      <c r="R292" s="14"/>
      <c r="S292" s="14"/>
      <c r="T292" s="14"/>
      <c r="U292" s="14"/>
      <c r="V292" s="14"/>
    </row>
    <row r="293" spans="1:22" x14ac:dyDescent="0.35">
      <c r="P293" s="14"/>
      <c r="Q293" s="14"/>
      <c r="R293" s="14"/>
      <c r="S293" s="14"/>
      <c r="T293" s="14"/>
      <c r="U293" s="14"/>
      <c r="V293" s="14"/>
    </row>
    <row r="294" spans="1:22" x14ac:dyDescent="0.35">
      <c r="P294" s="14"/>
      <c r="Q294" s="14"/>
      <c r="R294" s="14"/>
      <c r="S294" s="14"/>
      <c r="T294" s="14"/>
      <c r="U294" s="14"/>
      <c r="V294" s="14"/>
    </row>
    <row r="295" spans="1:22" x14ac:dyDescent="0.35">
      <c r="P295" s="14"/>
      <c r="Q295" s="14"/>
      <c r="R295" s="14"/>
      <c r="S295" s="14"/>
      <c r="T295" s="14"/>
      <c r="U295" s="14"/>
      <c r="V295" s="14"/>
    </row>
    <row r="296" spans="1:22" x14ac:dyDescent="0.35">
      <c r="P296" s="14"/>
      <c r="Q296" s="14"/>
      <c r="R296" s="14"/>
      <c r="S296" s="14"/>
      <c r="T296" s="14"/>
      <c r="U296" s="14"/>
      <c r="V296" s="14"/>
    </row>
    <row r="297" spans="1:22" x14ac:dyDescent="0.35">
      <c r="P297" s="14"/>
      <c r="Q297" s="14"/>
      <c r="R297" s="14"/>
      <c r="S297" s="14"/>
      <c r="T297" s="14"/>
      <c r="U297" s="14"/>
      <c r="V297" s="14"/>
    </row>
    <row r="298" spans="1:22" x14ac:dyDescent="0.35">
      <c r="P298" s="14"/>
      <c r="Q298" s="14"/>
      <c r="R298" s="14"/>
      <c r="S298" s="14"/>
      <c r="T298" s="14"/>
      <c r="U298" s="14"/>
      <c r="V298" s="14"/>
    </row>
    <row r="299" spans="1:22" x14ac:dyDescent="0.35">
      <c r="P299" s="14"/>
      <c r="Q299" s="14"/>
      <c r="R299" s="14"/>
      <c r="S299" s="14"/>
      <c r="T299" s="14"/>
      <c r="U299" s="14"/>
      <c r="V299" s="14"/>
    </row>
    <row r="300" spans="1:22" x14ac:dyDescent="0.35">
      <c r="P300" s="14"/>
      <c r="Q300" s="14"/>
      <c r="R300" s="14"/>
      <c r="S300" s="14"/>
      <c r="T300" s="14"/>
      <c r="U300" s="14"/>
      <c r="V300" s="14"/>
    </row>
    <row r="301" spans="1:22" x14ac:dyDescent="0.35">
      <c r="P301" s="14"/>
      <c r="Q301" s="14"/>
      <c r="R301" s="14"/>
      <c r="S301" s="14"/>
      <c r="T301" s="14"/>
      <c r="U301" s="14"/>
      <c r="V301" s="14"/>
    </row>
    <row r="302" spans="1:22" x14ac:dyDescent="0.35">
      <c r="A302" s="14"/>
      <c r="B302" s="14"/>
      <c r="C302" s="14"/>
      <c r="D302" s="14"/>
      <c r="E302" s="14"/>
      <c r="F302" s="14"/>
      <c r="G302" s="14"/>
      <c r="H302" s="14"/>
      <c r="I302" s="14"/>
      <c r="J302" s="14"/>
      <c r="K302" s="14"/>
      <c r="L302" s="14"/>
      <c r="M302" s="14"/>
      <c r="N302" s="14"/>
      <c r="O302" s="14"/>
      <c r="P302" s="14"/>
      <c r="Q302" s="14"/>
      <c r="R302" s="14"/>
      <c r="S302" s="14"/>
      <c r="T302" s="14"/>
      <c r="U302" s="14"/>
      <c r="V302" s="14"/>
    </row>
    <row r="303" spans="1:22" x14ac:dyDescent="0.35">
      <c r="A303" s="14"/>
      <c r="B303" s="14"/>
      <c r="C303" s="14"/>
      <c r="D303" s="14"/>
      <c r="E303" s="14"/>
      <c r="F303" s="14"/>
      <c r="G303" s="14"/>
      <c r="H303" s="14"/>
      <c r="I303" s="14"/>
      <c r="J303" s="14"/>
      <c r="K303" s="14"/>
      <c r="L303" s="14"/>
      <c r="M303" s="14"/>
      <c r="N303" s="14"/>
      <c r="O303" s="14"/>
      <c r="P303" s="14"/>
      <c r="Q303" s="14"/>
      <c r="R303" s="14"/>
      <c r="S303" s="14"/>
      <c r="T303" s="14"/>
      <c r="U303" s="14"/>
      <c r="V303" s="14"/>
    </row>
    <row r="304" spans="1:22" x14ac:dyDescent="0.35">
      <c r="A304" s="14"/>
      <c r="B304" s="14"/>
      <c r="C304" s="14"/>
      <c r="D304" s="14"/>
      <c r="E304" s="14"/>
      <c r="F304" s="14"/>
      <c r="G304" s="14"/>
      <c r="H304" s="14"/>
      <c r="I304" s="14"/>
      <c r="J304" s="14"/>
      <c r="K304" s="14"/>
      <c r="L304" s="14"/>
      <c r="M304" s="14"/>
      <c r="N304" s="14"/>
      <c r="O304" s="14"/>
      <c r="P304" s="14"/>
      <c r="Q304" s="14"/>
      <c r="R304" s="14"/>
      <c r="S304" s="14"/>
      <c r="T304" s="14"/>
      <c r="U304" s="14"/>
      <c r="V304" s="14"/>
    </row>
    <row r="305" spans="1:22" x14ac:dyDescent="0.35">
      <c r="A305" s="14"/>
      <c r="B305" s="14"/>
      <c r="C305" s="14"/>
      <c r="D305" s="14"/>
      <c r="E305" s="14"/>
      <c r="F305" s="14"/>
      <c r="G305" s="14"/>
      <c r="H305" s="14"/>
      <c r="I305" s="14"/>
      <c r="J305" s="14"/>
      <c r="K305" s="14"/>
      <c r="L305" s="14"/>
      <c r="M305" s="14"/>
      <c r="N305" s="14"/>
      <c r="O305" s="14"/>
      <c r="P305" s="14"/>
      <c r="Q305" s="14"/>
      <c r="R305" s="14"/>
      <c r="S305" s="14"/>
      <c r="T305" s="14"/>
      <c r="U305" s="14"/>
      <c r="V305" s="14"/>
    </row>
    <row r="306" spans="1:22" x14ac:dyDescent="0.35">
      <c r="A306" s="14"/>
      <c r="B306" s="14"/>
      <c r="C306" s="14"/>
      <c r="D306" s="14"/>
      <c r="E306" s="14"/>
      <c r="F306" s="14"/>
      <c r="G306" s="14"/>
      <c r="H306" s="14"/>
      <c r="I306" s="14"/>
      <c r="J306" s="14"/>
      <c r="K306" s="14"/>
      <c r="L306" s="14"/>
      <c r="M306" s="14"/>
      <c r="N306" s="14"/>
      <c r="O306" s="14"/>
      <c r="P306" s="14"/>
      <c r="Q306" s="14"/>
      <c r="R306" s="14"/>
      <c r="S306" s="14"/>
      <c r="T306" s="14"/>
      <c r="U306" s="14"/>
      <c r="V306" s="14"/>
    </row>
    <row r="307" spans="1:22" x14ac:dyDescent="0.35">
      <c r="A307" s="14"/>
      <c r="B307" s="14"/>
      <c r="C307" s="14"/>
      <c r="D307" s="14"/>
      <c r="E307" s="14"/>
      <c r="F307" s="14"/>
      <c r="G307" s="14"/>
      <c r="H307" s="14"/>
      <c r="I307" s="14"/>
      <c r="J307" s="14"/>
      <c r="K307" s="14"/>
      <c r="L307" s="14"/>
      <c r="M307" s="14"/>
      <c r="N307" s="14"/>
      <c r="O307" s="14"/>
      <c r="P307" s="14"/>
      <c r="Q307" s="14"/>
      <c r="R307" s="14"/>
      <c r="S307" s="14"/>
      <c r="T307" s="14"/>
      <c r="U307" s="14"/>
      <c r="V307" s="14"/>
    </row>
    <row r="308" spans="1:22" x14ac:dyDescent="0.35">
      <c r="A308" s="14"/>
      <c r="B308" s="14"/>
      <c r="C308" s="14"/>
      <c r="D308" s="14"/>
      <c r="E308" s="14"/>
      <c r="F308" s="14"/>
      <c r="G308" s="14"/>
      <c r="H308" s="14"/>
      <c r="I308" s="14"/>
      <c r="J308" s="14"/>
      <c r="K308" s="14"/>
      <c r="L308" s="14"/>
      <c r="M308" s="14"/>
      <c r="N308" s="14"/>
      <c r="O308" s="14"/>
      <c r="P308" s="14"/>
      <c r="Q308" s="14"/>
      <c r="R308" s="14"/>
      <c r="S308" s="14"/>
      <c r="T308" s="14"/>
      <c r="U308" s="14"/>
      <c r="V308" s="14"/>
    </row>
    <row r="309" spans="1:22" x14ac:dyDescent="0.35">
      <c r="A309" s="14"/>
      <c r="B309" s="14"/>
      <c r="C309" s="14"/>
      <c r="D309" s="14"/>
      <c r="E309" s="14"/>
      <c r="F309" s="14"/>
      <c r="G309" s="14"/>
      <c r="H309" s="14"/>
      <c r="I309" s="14"/>
      <c r="J309" s="14"/>
      <c r="K309" s="14"/>
      <c r="L309" s="14"/>
      <c r="M309" s="14"/>
      <c r="N309" s="14"/>
      <c r="O309" s="14"/>
      <c r="P309" s="14"/>
      <c r="Q309" s="14"/>
      <c r="R309" s="14"/>
      <c r="S309" s="14"/>
      <c r="T309" s="14"/>
      <c r="U309" s="14"/>
      <c r="V309" s="14"/>
    </row>
    <row r="310" spans="1:22" x14ac:dyDescent="0.35">
      <c r="A310" s="14"/>
      <c r="B310" s="14"/>
      <c r="C310" s="14"/>
      <c r="D310" s="14"/>
      <c r="E310" s="14"/>
      <c r="F310" s="14"/>
      <c r="G310" s="14"/>
      <c r="H310" s="14"/>
      <c r="I310" s="14"/>
      <c r="J310" s="14"/>
      <c r="K310" s="14"/>
      <c r="L310" s="14"/>
      <c r="M310" s="14"/>
      <c r="N310" s="14"/>
      <c r="O310" s="14"/>
      <c r="P310" s="14"/>
      <c r="Q310" s="14"/>
      <c r="R310" s="14"/>
      <c r="S310" s="14"/>
      <c r="T310" s="14"/>
      <c r="U310" s="14"/>
      <c r="V310" s="14"/>
    </row>
    <row r="311" spans="1:22" x14ac:dyDescent="0.35">
      <c r="A311" s="14"/>
      <c r="B311" s="14"/>
      <c r="C311" s="14"/>
      <c r="D311" s="14"/>
      <c r="E311" s="14"/>
      <c r="F311" s="14"/>
      <c r="G311" s="14"/>
      <c r="H311" s="14"/>
      <c r="I311" s="14"/>
      <c r="J311" s="14"/>
      <c r="K311" s="14"/>
      <c r="L311" s="14"/>
      <c r="M311" s="14"/>
      <c r="N311" s="14"/>
      <c r="O311" s="14"/>
      <c r="P311" s="14"/>
      <c r="Q311" s="14"/>
      <c r="R311" s="14"/>
      <c r="S311" s="14"/>
      <c r="T311" s="14"/>
      <c r="U311" s="14"/>
      <c r="V311" s="14"/>
    </row>
    <row r="312" spans="1:22" x14ac:dyDescent="0.35">
      <c r="A312" s="14"/>
      <c r="B312" s="14"/>
      <c r="C312" s="14"/>
      <c r="D312" s="14"/>
      <c r="E312" s="14"/>
      <c r="F312" s="14"/>
      <c r="G312" s="14"/>
      <c r="H312" s="14"/>
      <c r="I312" s="14"/>
      <c r="J312" s="14"/>
      <c r="K312" s="14"/>
      <c r="L312" s="14"/>
      <c r="M312" s="14"/>
      <c r="N312" s="14"/>
      <c r="O312" s="14"/>
      <c r="P312" s="14"/>
      <c r="Q312" s="14"/>
      <c r="R312" s="14"/>
      <c r="S312" s="14"/>
      <c r="T312" s="14"/>
      <c r="U312" s="14"/>
      <c r="V312" s="14"/>
    </row>
    <row r="313" spans="1:22" x14ac:dyDescent="0.35">
      <c r="A313" s="14"/>
      <c r="B313" s="14"/>
      <c r="C313" s="14"/>
      <c r="D313" s="14"/>
      <c r="E313" s="14"/>
      <c r="F313" s="14"/>
      <c r="G313" s="14"/>
      <c r="H313" s="14"/>
      <c r="I313" s="14"/>
      <c r="J313" s="14"/>
      <c r="K313" s="14"/>
      <c r="L313" s="14"/>
      <c r="M313" s="14"/>
      <c r="N313" s="14"/>
      <c r="O313" s="14"/>
      <c r="P313" s="14"/>
      <c r="Q313" s="14"/>
      <c r="R313" s="14"/>
      <c r="S313" s="14"/>
      <c r="T313" s="14"/>
      <c r="U313" s="14"/>
      <c r="V313" s="14"/>
    </row>
    <row r="314" spans="1:22" x14ac:dyDescent="0.35">
      <c r="A314" s="14"/>
      <c r="B314" s="14"/>
      <c r="C314" s="14"/>
      <c r="D314" s="14"/>
      <c r="E314" s="14"/>
      <c r="F314" s="14"/>
      <c r="G314" s="14"/>
      <c r="H314" s="14"/>
      <c r="I314" s="14"/>
      <c r="J314" s="14"/>
      <c r="K314" s="14"/>
      <c r="L314" s="14"/>
      <c r="M314" s="14"/>
      <c r="N314" s="14"/>
      <c r="O314" s="14"/>
      <c r="P314" s="14"/>
      <c r="Q314" s="14"/>
      <c r="R314" s="14"/>
      <c r="S314" s="14"/>
      <c r="T314" s="14"/>
      <c r="U314" s="14"/>
      <c r="V314" s="14"/>
    </row>
    <row r="315" spans="1:22" x14ac:dyDescent="0.35">
      <c r="A315" s="14"/>
      <c r="B315" s="14"/>
      <c r="C315" s="14"/>
      <c r="D315" s="14"/>
      <c r="E315" s="14"/>
      <c r="F315" s="14"/>
      <c r="G315" s="14"/>
      <c r="H315" s="14"/>
      <c r="I315" s="14"/>
      <c r="J315" s="14"/>
      <c r="K315" s="14"/>
      <c r="L315" s="14"/>
      <c r="M315" s="14"/>
      <c r="N315" s="14"/>
      <c r="O315" s="14"/>
      <c r="P315" s="14"/>
      <c r="Q315" s="14"/>
      <c r="R315" s="14"/>
      <c r="S315" s="14"/>
      <c r="T315" s="14"/>
      <c r="U315" s="14"/>
      <c r="V315" s="14"/>
    </row>
    <row r="316" spans="1:22" x14ac:dyDescent="0.35">
      <c r="A316" s="14"/>
      <c r="B316" s="14"/>
      <c r="C316" s="14"/>
      <c r="D316" s="14"/>
      <c r="E316" s="14"/>
      <c r="F316" s="14"/>
      <c r="G316" s="14"/>
      <c r="H316" s="14"/>
      <c r="I316" s="14"/>
      <c r="J316" s="14"/>
      <c r="K316" s="14"/>
      <c r="L316" s="14"/>
      <c r="M316" s="14"/>
      <c r="N316" s="14"/>
      <c r="O316" s="14"/>
      <c r="P316" s="14"/>
      <c r="Q316" s="14"/>
      <c r="R316" s="14"/>
      <c r="S316" s="14"/>
      <c r="T316" s="14"/>
      <c r="U316" s="14"/>
      <c r="V316" s="14"/>
    </row>
    <row r="317" spans="1:22" x14ac:dyDescent="0.35">
      <c r="A317" s="14"/>
      <c r="B317" s="14"/>
      <c r="C317" s="14"/>
      <c r="D317" s="14"/>
      <c r="E317" s="14"/>
      <c r="F317" s="14"/>
      <c r="G317" s="14"/>
      <c r="H317" s="14"/>
      <c r="I317" s="14"/>
      <c r="J317" s="14"/>
      <c r="K317" s="14"/>
      <c r="L317" s="14"/>
      <c r="M317" s="14"/>
      <c r="N317" s="14"/>
      <c r="O317" s="14"/>
      <c r="P317" s="14"/>
      <c r="Q317" s="14"/>
      <c r="R317" s="14"/>
      <c r="S317" s="14"/>
      <c r="T317" s="14"/>
      <c r="U317" s="14"/>
      <c r="V317" s="14"/>
    </row>
    <row r="318" spans="1:22" x14ac:dyDescent="0.35">
      <c r="A318" s="14"/>
      <c r="B318" s="14"/>
      <c r="C318" s="14"/>
      <c r="D318" s="14"/>
      <c r="E318" s="14"/>
      <c r="F318" s="14"/>
      <c r="G318" s="14"/>
      <c r="H318" s="14"/>
      <c r="I318" s="14"/>
      <c r="J318" s="14"/>
      <c r="K318" s="14"/>
      <c r="L318" s="14"/>
      <c r="M318" s="14"/>
      <c r="N318" s="14"/>
      <c r="O318" s="14"/>
      <c r="P318" s="14"/>
      <c r="Q318" s="14"/>
      <c r="R318" s="14"/>
      <c r="S318" s="14"/>
      <c r="T318" s="14"/>
      <c r="U318" s="14"/>
      <c r="V318" s="14"/>
    </row>
    <row r="319" spans="1:22" x14ac:dyDescent="0.35">
      <c r="A319" s="14"/>
      <c r="B319" s="14"/>
      <c r="C319" s="14"/>
      <c r="D319" s="14"/>
      <c r="E319" s="14"/>
      <c r="F319" s="14"/>
      <c r="G319" s="14"/>
      <c r="H319" s="14"/>
      <c r="I319" s="14"/>
      <c r="J319" s="14"/>
      <c r="K319" s="14"/>
      <c r="L319" s="14"/>
      <c r="M319" s="14"/>
      <c r="N319" s="14"/>
      <c r="O319" s="14"/>
      <c r="P319" s="14"/>
      <c r="Q319" s="14"/>
      <c r="R319" s="14"/>
      <c r="S319" s="14"/>
      <c r="T319" s="14"/>
      <c r="U319" s="14"/>
      <c r="V319" s="14"/>
    </row>
    <row r="320" spans="1:22" x14ac:dyDescent="0.35">
      <c r="A320" s="14"/>
      <c r="B320" s="14"/>
      <c r="C320" s="14"/>
      <c r="D320" s="14"/>
      <c r="E320" s="14"/>
      <c r="F320" s="14"/>
      <c r="G320" s="14"/>
      <c r="H320" s="14"/>
      <c r="I320" s="14"/>
      <c r="J320" s="14"/>
      <c r="K320" s="14"/>
      <c r="L320" s="14"/>
      <c r="M320" s="14"/>
      <c r="N320" s="14"/>
      <c r="O320" s="14"/>
      <c r="P320" s="14"/>
      <c r="Q320" s="14"/>
      <c r="R320" s="14"/>
      <c r="S320" s="14"/>
      <c r="T320" s="14"/>
      <c r="U320" s="14"/>
      <c r="V320" s="14"/>
    </row>
    <row r="321" spans="1:22" x14ac:dyDescent="0.35">
      <c r="A321" s="14"/>
      <c r="B321" s="14"/>
      <c r="C321" s="14"/>
      <c r="D321" s="14"/>
      <c r="E321" s="14"/>
      <c r="F321" s="14"/>
      <c r="G321" s="14"/>
      <c r="H321" s="14"/>
      <c r="I321" s="14"/>
      <c r="J321" s="14"/>
      <c r="K321" s="14"/>
      <c r="L321" s="14"/>
      <c r="M321" s="14"/>
      <c r="N321" s="14"/>
      <c r="O321" s="14"/>
      <c r="P321" s="14"/>
      <c r="Q321" s="14"/>
      <c r="R321" s="14"/>
      <c r="S321" s="14"/>
      <c r="T321" s="14"/>
      <c r="U321" s="14"/>
      <c r="V321" s="14"/>
    </row>
    <row r="322" spans="1:22" x14ac:dyDescent="0.35">
      <c r="A322" s="14"/>
      <c r="B322" s="14"/>
      <c r="C322" s="14"/>
      <c r="D322" s="14"/>
      <c r="E322" s="14"/>
      <c r="F322" s="14"/>
      <c r="G322" s="14"/>
      <c r="H322" s="14"/>
      <c r="I322" s="14"/>
      <c r="J322" s="14"/>
      <c r="K322" s="14"/>
      <c r="L322" s="14"/>
      <c r="M322" s="14"/>
      <c r="N322" s="14"/>
      <c r="O322" s="14"/>
      <c r="P322" s="14"/>
      <c r="Q322" s="14"/>
      <c r="R322" s="14"/>
      <c r="S322" s="14"/>
      <c r="T322" s="14"/>
      <c r="U322" s="14"/>
      <c r="V322" s="14"/>
    </row>
    <row r="323" spans="1:22" x14ac:dyDescent="0.35">
      <c r="A323" s="14"/>
      <c r="B323" s="14"/>
      <c r="C323" s="14"/>
      <c r="D323" s="14"/>
      <c r="E323" s="14"/>
      <c r="F323" s="14"/>
      <c r="G323" s="14"/>
      <c r="H323" s="14"/>
      <c r="I323" s="14"/>
      <c r="J323" s="14"/>
      <c r="K323" s="14"/>
      <c r="L323" s="14"/>
      <c r="M323" s="14"/>
      <c r="N323" s="14"/>
      <c r="O323" s="14"/>
      <c r="P323" s="14"/>
      <c r="Q323" s="14"/>
      <c r="R323" s="14"/>
      <c r="S323" s="14"/>
      <c r="T323" s="14"/>
      <c r="U323" s="14"/>
      <c r="V323" s="14"/>
    </row>
    <row r="324" spans="1:22" x14ac:dyDescent="0.35">
      <c r="A324" s="14"/>
      <c r="B324" s="14"/>
      <c r="C324" s="14"/>
      <c r="D324" s="14"/>
      <c r="E324" s="14"/>
      <c r="F324" s="14"/>
      <c r="G324" s="14"/>
      <c r="H324" s="14"/>
      <c r="I324" s="14"/>
      <c r="J324" s="14"/>
      <c r="K324" s="14"/>
      <c r="L324" s="14"/>
      <c r="M324" s="14"/>
      <c r="N324" s="14"/>
      <c r="O324" s="14"/>
      <c r="P324" s="14"/>
      <c r="Q324" s="14"/>
      <c r="R324" s="14"/>
      <c r="S324" s="14"/>
      <c r="T324" s="14"/>
      <c r="U324" s="14"/>
      <c r="V324" s="14"/>
    </row>
    <row r="325" spans="1:22" x14ac:dyDescent="0.35">
      <c r="A325" s="14"/>
      <c r="B325" s="14"/>
      <c r="C325" s="14"/>
      <c r="D325" s="14"/>
      <c r="E325" s="14"/>
      <c r="F325" s="14"/>
      <c r="G325" s="14"/>
      <c r="H325" s="14"/>
      <c r="I325" s="14"/>
      <c r="J325" s="14"/>
      <c r="K325" s="14"/>
      <c r="L325" s="14"/>
      <c r="M325" s="14"/>
      <c r="N325" s="14"/>
      <c r="O325" s="14"/>
      <c r="P325" s="14"/>
      <c r="Q325" s="14"/>
      <c r="R325" s="14"/>
      <c r="S325" s="14"/>
      <c r="T325" s="14"/>
      <c r="U325" s="14"/>
      <c r="V325" s="14"/>
    </row>
    <row r="326" spans="1:22" x14ac:dyDescent="0.35">
      <c r="A326" s="14"/>
      <c r="B326" s="14"/>
      <c r="C326" s="14"/>
      <c r="D326" s="14"/>
      <c r="E326" s="14"/>
      <c r="F326" s="14"/>
      <c r="G326" s="14"/>
      <c r="H326" s="14"/>
      <c r="I326" s="14"/>
      <c r="J326" s="14"/>
      <c r="K326" s="14"/>
      <c r="L326" s="14"/>
      <c r="M326" s="14"/>
      <c r="N326" s="14"/>
      <c r="O326" s="14"/>
      <c r="P326" s="14"/>
      <c r="Q326" s="14"/>
      <c r="R326" s="14"/>
      <c r="S326" s="14"/>
      <c r="T326" s="14"/>
      <c r="U326" s="14"/>
      <c r="V326" s="14"/>
    </row>
    <row r="327" spans="1:22" x14ac:dyDescent="0.35">
      <c r="A327" s="14"/>
      <c r="B327" s="14"/>
      <c r="C327" s="14"/>
      <c r="D327" s="14"/>
      <c r="E327" s="14"/>
      <c r="F327" s="14"/>
      <c r="G327" s="14"/>
      <c r="H327" s="14"/>
      <c r="I327" s="14"/>
      <c r="J327" s="14"/>
      <c r="K327" s="14"/>
      <c r="L327" s="14"/>
      <c r="M327" s="14"/>
      <c r="N327" s="14"/>
      <c r="O327" s="14"/>
      <c r="P327" s="14"/>
      <c r="Q327" s="14"/>
      <c r="R327" s="14"/>
      <c r="S327" s="14"/>
      <c r="T327" s="14"/>
      <c r="U327" s="14"/>
      <c r="V327" s="14"/>
    </row>
    <row r="328" spans="1:22" x14ac:dyDescent="0.35">
      <c r="A328" s="14"/>
      <c r="B328" s="14"/>
      <c r="C328" s="14"/>
      <c r="D328" s="14"/>
      <c r="E328" s="14"/>
      <c r="F328" s="14"/>
      <c r="G328" s="14"/>
      <c r="H328" s="14"/>
      <c r="I328" s="14"/>
      <c r="J328" s="14"/>
      <c r="K328" s="14"/>
      <c r="L328" s="14"/>
      <c r="M328" s="14"/>
      <c r="N328" s="14"/>
      <c r="O328" s="14"/>
      <c r="P328" s="14"/>
      <c r="Q328" s="14"/>
      <c r="R328" s="14"/>
      <c r="S328" s="14"/>
      <c r="T328" s="14"/>
      <c r="U328" s="14"/>
      <c r="V328" s="14"/>
    </row>
    <row r="329" spans="1:22" x14ac:dyDescent="0.35">
      <c r="A329" s="14"/>
      <c r="B329" s="14"/>
      <c r="C329" s="14"/>
      <c r="D329" s="14"/>
      <c r="E329" s="14"/>
      <c r="F329" s="14"/>
      <c r="G329" s="14"/>
      <c r="H329" s="14"/>
      <c r="I329" s="14"/>
      <c r="J329" s="14"/>
      <c r="K329" s="14"/>
      <c r="L329" s="14"/>
      <c r="M329" s="14"/>
      <c r="N329" s="14"/>
      <c r="O329" s="14"/>
      <c r="P329" s="14"/>
      <c r="Q329" s="14"/>
      <c r="R329" s="14"/>
      <c r="S329" s="14"/>
      <c r="T329" s="14"/>
      <c r="U329" s="14"/>
      <c r="V329" s="14"/>
    </row>
    <row r="330" spans="1:22" x14ac:dyDescent="0.35">
      <c r="A330" s="14"/>
      <c r="B330" s="14"/>
      <c r="C330" s="14"/>
      <c r="D330" s="14"/>
      <c r="E330" s="14"/>
      <c r="F330" s="14"/>
      <c r="G330" s="14"/>
      <c r="H330" s="14"/>
      <c r="I330" s="14"/>
      <c r="J330" s="14"/>
      <c r="K330" s="14"/>
      <c r="L330" s="14"/>
      <c r="M330" s="14"/>
      <c r="N330" s="14"/>
      <c r="O330" s="14"/>
      <c r="P330" s="14"/>
      <c r="Q330" s="14"/>
      <c r="R330" s="14"/>
      <c r="S330" s="14"/>
      <c r="T330" s="14"/>
      <c r="U330" s="14"/>
      <c r="V330" s="14"/>
    </row>
    <row r="331" spans="1:22" x14ac:dyDescent="0.35">
      <c r="A331" s="14"/>
      <c r="B331" s="14"/>
      <c r="C331" s="14"/>
      <c r="D331" s="14"/>
      <c r="E331" s="14"/>
      <c r="F331" s="14"/>
      <c r="G331" s="14"/>
      <c r="H331" s="14"/>
      <c r="I331" s="14"/>
      <c r="J331" s="14"/>
      <c r="K331" s="14"/>
      <c r="L331" s="14"/>
      <c r="M331" s="14"/>
      <c r="N331" s="14"/>
      <c r="O331" s="14"/>
      <c r="P331" s="14"/>
      <c r="Q331" s="14"/>
      <c r="R331" s="14"/>
      <c r="S331" s="14"/>
      <c r="T331" s="14"/>
      <c r="U331" s="14"/>
      <c r="V331" s="14"/>
    </row>
    <row r="332" spans="1:22" x14ac:dyDescent="0.35">
      <c r="A332" s="14"/>
      <c r="B332" s="14"/>
      <c r="C332" s="14"/>
      <c r="D332" s="14"/>
      <c r="E332" s="14"/>
      <c r="F332" s="14"/>
      <c r="G332" s="14"/>
      <c r="H332" s="14"/>
      <c r="I332" s="14"/>
      <c r="J332" s="14"/>
      <c r="K332" s="14"/>
      <c r="L332" s="14"/>
      <c r="M332" s="14"/>
      <c r="N332" s="14"/>
      <c r="O332" s="14"/>
      <c r="P332" s="14"/>
      <c r="Q332" s="14"/>
      <c r="R332" s="14"/>
      <c r="S332" s="14"/>
      <c r="T332" s="14"/>
      <c r="U332" s="14"/>
      <c r="V332" s="14"/>
    </row>
    <row r="333" spans="1:22" x14ac:dyDescent="0.35">
      <c r="A333" s="14"/>
      <c r="B333" s="14"/>
      <c r="C333" s="14"/>
      <c r="D333" s="14"/>
      <c r="E333" s="14"/>
      <c r="F333" s="14"/>
      <c r="G333" s="14"/>
      <c r="H333" s="14"/>
      <c r="I333" s="14"/>
      <c r="J333" s="14"/>
      <c r="K333" s="14"/>
      <c r="L333" s="14"/>
      <c r="M333" s="14"/>
      <c r="N333" s="14"/>
      <c r="O333" s="14"/>
      <c r="P333" s="14"/>
      <c r="Q333" s="14"/>
      <c r="R333" s="14"/>
      <c r="S333" s="14"/>
      <c r="T333" s="14"/>
      <c r="U333" s="14"/>
      <c r="V333" s="14"/>
    </row>
    <row r="334" spans="1:22" x14ac:dyDescent="0.35">
      <c r="A334" s="14"/>
      <c r="B334" s="14"/>
      <c r="C334" s="14"/>
      <c r="D334" s="14"/>
      <c r="E334" s="14"/>
      <c r="F334" s="14"/>
      <c r="G334" s="14"/>
      <c r="H334" s="14"/>
      <c r="I334" s="14"/>
      <c r="J334" s="14"/>
      <c r="K334" s="14"/>
      <c r="L334" s="14"/>
      <c r="M334" s="14"/>
      <c r="N334" s="14"/>
      <c r="O334" s="14"/>
      <c r="P334" s="14"/>
      <c r="Q334" s="14"/>
      <c r="R334" s="14"/>
      <c r="S334" s="14"/>
      <c r="T334" s="14"/>
      <c r="U334" s="14"/>
      <c r="V334" s="14"/>
    </row>
    <row r="335" spans="1:22" x14ac:dyDescent="0.35">
      <c r="A335" s="14"/>
      <c r="B335" s="14"/>
      <c r="C335" s="14"/>
      <c r="D335" s="14"/>
      <c r="E335" s="14"/>
      <c r="F335" s="14"/>
      <c r="G335" s="14"/>
      <c r="H335" s="14"/>
      <c r="I335" s="14"/>
      <c r="J335" s="14"/>
      <c r="K335" s="14"/>
      <c r="L335" s="14"/>
      <c r="M335" s="14"/>
      <c r="N335" s="14"/>
      <c r="O335" s="14"/>
      <c r="P335" s="14"/>
      <c r="Q335" s="14"/>
      <c r="R335" s="14"/>
      <c r="S335" s="14"/>
      <c r="T335" s="14"/>
      <c r="U335" s="14"/>
      <c r="V335" s="14"/>
    </row>
    <row r="336" spans="1:22" x14ac:dyDescent="0.35">
      <c r="A336" s="14"/>
      <c r="B336" s="14"/>
      <c r="C336" s="14"/>
      <c r="D336" s="14"/>
      <c r="E336" s="14"/>
      <c r="F336" s="14"/>
      <c r="G336" s="14"/>
      <c r="H336" s="14"/>
      <c r="I336" s="14"/>
      <c r="J336" s="14"/>
      <c r="K336" s="14"/>
      <c r="L336" s="14"/>
      <c r="M336" s="14"/>
      <c r="N336" s="14"/>
      <c r="O336" s="14"/>
      <c r="P336" s="14"/>
      <c r="Q336" s="14"/>
      <c r="R336" s="14"/>
      <c r="S336" s="14"/>
      <c r="T336" s="14"/>
      <c r="U336" s="14"/>
      <c r="V336" s="14"/>
    </row>
    <row r="337" spans="1:22" x14ac:dyDescent="0.35">
      <c r="A337" s="14"/>
      <c r="B337" s="14"/>
      <c r="C337" s="14"/>
      <c r="D337" s="14"/>
      <c r="E337" s="14"/>
      <c r="F337" s="14"/>
      <c r="G337" s="14"/>
      <c r="H337" s="14"/>
      <c r="I337" s="14"/>
      <c r="J337" s="14"/>
      <c r="K337" s="14"/>
      <c r="L337" s="14"/>
      <c r="M337" s="14"/>
      <c r="N337" s="14"/>
      <c r="O337" s="14"/>
      <c r="P337" s="14"/>
      <c r="Q337" s="14"/>
      <c r="R337" s="14"/>
      <c r="S337" s="14"/>
      <c r="T337" s="14"/>
      <c r="U337" s="14"/>
      <c r="V337" s="14"/>
    </row>
    <row r="338" spans="1:22" x14ac:dyDescent="0.35">
      <c r="A338" s="14"/>
      <c r="B338" s="14"/>
      <c r="C338" s="14"/>
      <c r="D338" s="14"/>
      <c r="E338" s="14"/>
      <c r="F338" s="14"/>
      <c r="G338" s="14"/>
      <c r="H338" s="14"/>
      <c r="I338" s="14"/>
      <c r="J338" s="14"/>
      <c r="K338" s="14"/>
      <c r="L338" s="14"/>
      <c r="M338" s="14"/>
      <c r="N338" s="14"/>
      <c r="O338" s="14"/>
      <c r="P338" s="14"/>
      <c r="Q338" s="14"/>
      <c r="R338" s="14"/>
      <c r="S338" s="14"/>
      <c r="T338" s="14"/>
      <c r="U338" s="14"/>
      <c r="V338" s="14"/>
    </row>
    <row r="339" spans="1:22" x14ac:dyDescent="0.35">
      <c r="A339" s="14"/>
      <c r="B339" s="14"/>
      <c r="C339" s="14"/>
      <c r="D339" s="14"/>
      <c r="E339" s="14"/>
      <c r="F339" s="14"/>
      <c r="G339" s="14"/>
      <c r="H339" s="14"/>
      <c r="I339" s="14"/>
      <c r="J339" s="14"/>
      <c r="K339" s="14"/>
      <c r="L339" s="14"/>
      <c r="M339" s="14"/>
      <c r="N339" s="14"/>
      <c r="O339" s="14"/>
      <c r="P339" s="14"/>
      <c r="Q339" s="14"/>
      <c r="R339" s="14"/>
      <c r="S339" s="14"/>
      <c r="T339" s="14"/>
      <c r="U339" s="14"/>
      <c r="V339" s="14"/>
    </row>
    <row r="340" spans="1:22" x14ac:dyDescent="0.35">
      <c r="A340" s="14"/>
      <c r="B340" s="14"/>
      <c r="C340" s="14"/>
      <c r="D340" s="14"/>
      <c r="E340" s="14"/>
      <c r="F340" s="14"/>
      <c r="G340" s="14"/>
      <c r="H340" s="14"/>
      <c r="I340" s="14"/>
      <c r="J340" s="14"/>
      <c r="K340" s="14"/>
      <c r="L340" s="14"/>
      <c r="M340" s="14"/>
      <c r="N340" s="14"/>
      <c r="O340" s="14"/>
      <c r="P340" s="14"/>
      <c r="Q340" s="14"/>
      <c r="R340" s="14"/>
      <c r="S340" s="14"/>
      <c r="T340" s="14"/>
      <c r="U340" s="14"/>
      <c r="V340" s="14"/>
    </row>
    <row r="341" spans="1:22" x14ac:dyDescent="0.35">
      <c r="A341" s="14"/>
      <c r="B341" s="14"/>
      <c r="C341" s="14"/>
      <c r="D341" s="14"/>
      <c r="E341" s="14"/>
      <c r="F341" s="14"/>
      <c r="G341" s="14"/>
      <c r="H341" s="14"/>
      <c r="I341" s="14"/>
      <c r="J341" s="14"/>
      <c r="K341" s="14"/>
      <c r="L341" s="14"/>
      <c r="M341" s="14"/>
      <c r="N341" s="14"/>
      <c r="O341" s="14"/>
      <c r="P341" s="14"/>
      <c r="Q341" s="14"/>
      <c r="R341" s="14"/>
      <c r="S341" s="14"/>
      <c r="T341" s="14"/>
      <c r="U341" s="14"/>
      <c r="V341" s="14"/>
    </row>
    <row r="342" spans="1:22" x14ac:dyDescent="0.35">
      <c r="A342" s="14"/>
      <c r="B342" s="14"/>
      <c r="C342" s="14"/>
      <c r="D342" s="14"/>
      <c r="E342" s="14"/>
      <c r="F342" s="14"/>
      <c r="G342" s="14"/>
      <c r="H342" s="14"/>
      <c r="I342" s="14"/>
      <c r="J342" s="14"/>
      <c r="K342" s="14"/>
      <c r="L342" s="14"/>
      <c r="M342" s="14"/>
      <c r="N342" s="14"/>
      <c r="O342" s="14"/>
      <c r="P342" s="14"/>
      <c r="Q342" s="14"/>
      <c r="R342" s="14"/>
      <c r="S342" s="14"/>
      <c r="T342" s="14"/>
      <c r="U342" s="14"/>
      <c r="V342" s="14"/>
    </row>
    <row r="343" spans="1:22" x14ac:dyDescent="0.35">
      <c r="A343" s="14"/>
      <c r="B343" s="14"/>
      <c r="C343" s="14"/>
      <c r="D343" s="14"/>
      <c r="E343" s="14"/>
      <c r="F343" s="14"/>
      <c r="G343" s="14"/>
      <c r="H343" s="14"/>
      <c r="I343" s="14"/>
      <c r="J343" s="14"/>
      <c r="K343" s="14"/>
      <c r="L343" s="14"/>
      <c r="M343" s="14"/>
      <c r="N343" s="14"/>
      <c r="O343" s="14"/>
      <c r="P343" s="14"/>
      <c r="Q343" s="14"/>
      <c r="R343" s="14"/>
      <c r="S343" s="14"/>
      <c r="T343" s="14"/>
      <c r="U343" s="14"/>
      <c r="V343" s="14"/>
    </row>
  </sheetData>
  <mergeCells count="15">
    <mergeCell ref="A185:O210"/>
    <mergeCell ref="A213:O223"/>
    <mergeCell ref="A1:O1"/>
    <mergeCell ref="A89:O89"/>
    <mergeCell ref="A90:O100"/>
    <mergeCell ref="A103:O107"/>
    <mergeCell ref="A2:O3"/>
    <mergeCell ref="A110:O119"/>
    <mergeCell ref="A122:J139"/>
    <mergeCell ref="A140:J144"/>
    <mergeCell ref="A147:J159"/>
    <mergeCell ref="A175:O182"/>
    <mergeCell ref="A20:O61"/>
    <mergeCell ref="A5:O17"/>
    <mergeCell ref="A64:O86"/>
  </mergeCells>
  <hyperlinks>
    <hyperlink ref="P9" location="'Management Input'!A1" tooltip="Return to Management Input Page" display="Management Input'!A1" xr:uid="{00000000-0004-0000-0400-000000000000}"/>
    <hyperlink ref="P74" location="'Management Input'!A1" display="'Management Input'!A1" xr:uid="{00000000-0004-0000-04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INPUT">
                <anchor moveWithCells="1" sizeWithCells="1">
                  <from>
                    <xdr:col>15</xdr:col>
                    <xdr:colOff>12700</xdr:colOff>
                    <xdr:row>7</xdr:row>
                    <xdr:rowOff>12700</xdr:rowOff>
                  </from>
                  <to>
                    <xdr:col>17</xdr:col>
                    <xdr:colOff>298450</xdr:colOff>
                    <xdr:row>10</xdr:row>
                    <xdr:rowOff>12700</xdr:rowOff>
                  </to>
                </anchor>
              </controlPr>
            </control>
          </mc:Choice>
        </mc:AlternateContent>
        <mc:AlternateContent xmlns:mc="http://schemas.openxmlformats.org/markup-compatibility/2006">
          <mc:Choice Requires="x14">
            <control shapeId="2050" r:id="rId5" name="Button 2">
              <controlPr defaultSize="0" print="0" autoFill="0" autoPict="0" macro="[0]!MINPUT">
                <anchor moveWithCells="1" sizeWithCells="1">
                  <from>
                    <xdr:col>15</xdr:col>
                    <xdr:colOff>12700</xdr:colOff>
                    <xdr:row>30</xdr:row>
                    <xdr:rowOff>107950</xdr:rowOff>
                  </from>
                  <to>
                    <xdr:col>17</xdr:col>
                    <xdr:colOff>298450</xdr:colOff>
                    <xdr:row>33</xdr:row>
                    <xdr:rowOff>107950</xdr:rowOff>
                  </to>
                </anchor>
              </controlPr>
            </control>
          </mc:Choice>
        </mc:AlternateContent>
        <mc:AlternateContent xmlns:mc="http://schemas.openxmlformats.org/markup-compatibility/2006">
          <mc:Choice Requires="x14">
            <control shapeId="2051" r:id="rId6" name="Button 3">
              <controlPr defaultSize="0" print="0" autoFill="0" autoPict="0" macro="[0]!MINPUT">
                <anchor moveWithCells="1" sizeWithCells="1">
                  <from>
                    <xdr:col>15</xdr:col>
                    <xdr:colOff>12700</xdr:colOff>
                    <xdr:row>72</xdr:row>
                    <xdr:rowOff>127000</xdr:rowOff>
                  </from>
                  <to>
                    <xdr:col>17</xdr:col>
                    <xdr:colOff>209550</xdr:colOff>
                    <xdr:row>75</xdr:row>
                    <xdr:rowOff>31750</xdr:rowOff>
                  </to>
                </anchor>
              </controlPr>
            </control>
          </mc:Choice>
        </mc:AlternateContent>
        <mc:AlternateContent xmlns:mc="http://schemas.openxmlformats.org/markup-compatibility/2006">
          <mc:Choice Requires="x14">
            <control shapeId="2052" r:id="rId7" name="Button 4">
              <controlPr defaultSize="0" print="0" autoFill="0" autoPict="0" macro="[0]!MINPUT">
                <anchor moveWithCells="1" sizeWithCells="1">
                  <from>
                    <xdr:col>15</xdr:col>
                    <xdr:colOff>12700</xdr:colOff>
                    <xdr:row>92</xdr:row>
                    <xdr:rowOff>76200</xdr:rowOff>
                  </from>
                  <to>
                    <xdr:col>17</xdr:col>
                    <xdr:colOff>381000</xdr:colOff>
                    <xdr:row>95</xdr:row>
                    <xdr:rowOff>38100</xdr:rowOff>
                  </to>
                </anchor>
              </controlPr>
            </control>
          </mc:Choice>
        </mc:AlternateContent>
        <mc:AlternateContent xmlns:mc="http://schemas.openxmlformats.org/markup-compatibility/2006">
          <mc:Choice Requires="x14">
            <control shapeId="2053" r:id="rId8" name="Button 5">
              <controlPr defaultSize="0" print="0" autoFill="0" autoPict="0" macro="[0]!MINPUT">
                <anchor moveWithCells="1" sizeWithCells="1">
                  <from>
                    <xdr:col>15</xdr:col>
                    <xdr:colOff>12700</xdr:colOff>
                    <xdr:row>103</xdr:row>
                    <xdr:rowOff>12700</xdr:rowOff>
                  </from>
                  <to>
                    <xdr:col>17</xdr:col>
                    <xdr:colOff>381000</xdr:colOff>
                    <xdr:row>105</xdr:row>
                    <xdr:rowOff>95250</xdr:rowOff>
                  </to>
                </anchor>
              </controlPr>
            </control>
          </mc:Choice>
        </mc:AlternateContent>
        <mc:AlternateContent xmlns:mc="http://schemas.openxmlformats.org/markup-compatibility/2006">
          <mc:Choice Requires="x14">
            <control shapeId="2054" r:id="rId9" name="Button 6">
              <controlPr defaultSize="0" print="0" autoFill="0" autoPict="0" macro="[0]!MINPUT">
                <anchor moveWithCells="1" sizeWithCells="1">
                  <from>
                    <xdr:col>15</xdr:col>
                    <xdr:colOff>12700</xdr:colOff>
                    <xdr:row>112</xdr:row>
                    <xdr:rowOff>76200</xdr:rowOff>
                  </from>
                  <to>
                    <xdr:col>17</xdr:col>
                    <xdr:colOff>381000</xdr:colOff>
                    <xdr:row>115</xdr:row>
                    <xdr:rowOff>38100</xdr:rowOff>
                  </to>
                </anchor>
              </controlPr>
            </control>
          </mc:Choice>
        </mc:AlternateContent>
        <mc:AlternateContent xmlns:mc="http://schemas.openxmlformats.org/markup-compatibility/2006">
          <mc:Choice Requires="x14">
            <control shapeId="2055" r:id="rId10" name="Button 7">
              <controlPr defaultSize="0" print="0" autoFill="0" autoPict="0" macro="[0]!MINPUT">
                <anchor moveWithCells="1" sizeWithCells="1">
                  <from>
                    <xdr:col>15</xdr:col>
                    <xdr:colOff>57150</xdr:colOff>
                    <xdr:row>131</xdr:row>
                    <xdr:rowOff>50800</xdr:rowOff>
                  </from>
                  <to>
                    <xdr:col>18</xdr:col>
                    <xdr:colOff>31750</xdr:colOff>
                    <xdr:row>134</xdr:row>
                    <xdr:rowOff>12700</xdr:rowOff>
                  </to>
                </anchor>
              </controlPr>
            </control>
          </mc:Choice>
        </mc:AlternateContent>
        <mc:AlternateContent xmlns:mc="http://schemas.openxmlformats.org/markup-compatibility/2006">
          <mc:Choice Requires="x14">
            <control shapeId="2056" r:id="rId11" name="Button 8">
              <controlPr defaultSize="0" print="0" autoFill="0" autoPict="0" macro="[0]!MINPUT">
                <anchor moveWithCells="1" sizeWithCells="1">
                  <from>
                    <xdr:col>15</xdr:col>
                    <xdr:colOff>12700</xdr:colOff>
                    <xdr:row>178</xdr:row>
                    <xdr:rowOff>69850</xdr:rowOff>
                  </from>
                  <to>
                    <xdr:col>17</xdr:col>
                    <xdr:colOff>393700</xdr:colOff>
                    <xdr:row>181</xdr:row>
                    <xdr:rowOff>31750</xdr:rowOff>
                  </to>
                </anchor>
              </controlPr>
            </control>
          </mc:Choice>
        </mc:AlternateContent>
        <mc:AlternateContent xmlns:mc="http://schemas.openxmlformats.org/markup-compatibility/2006">
          <mc:Choice Requires="x14">
            <control shapeId="2057" r:id="rId12" name="Button 9">
              <controlPr defaultSize="0" print="0" autoFill="0" autoPict="0" macro="[0]!MINPUT">
                <anchor moveWithCells="1" sizeWithCells="1">
                  <from>
                    <xdr:col>15</xdr:col>
                    <xdr:colOff>12700</xdr:colOff>
                    <xdr:row>217</xdr:row>
                    <xdr:rowOff>76200</xdr:rowOff>
                  </from>
                  <to>
                    <xdr:col>17</xdr:col>
                    <xdr:colOff>381000</xdr:colOff>
                    <xdr:row>220</xdr:row>
                    <xdr:rowOff>38100</xdr:rowOff>
                  </to>
                </anchor>
              </controlPr>
            </control>
          </mc:Choice>
        </mc:AlternateContent>
        <mc:AlternateContent xmlns:mc="http://schemas.openxmlformats.org/markup-compatibility/2006">
          <mc:Choice Requires="x14">
            <control shapeId="2058" r:id="rId13" name="Button 10">
              <controlPr defaultSize="0" print="0" autoFill="0" autoPict="0" macro="[0]!MINPUT">
                <anchor moveWithCells="1" sizeWithCells="1">
                  <from>
                    <xdr:col>15</xdr:col>
                    <xdr:colOff>57150</xdr:colOff>
                    <xdr:row>253</xdr:row>
                    <xdr:rowOff>76200</xdr:rowOff>
                  </from>
                  <to>
                    <xdr:col>18</xdr:col>
                    <xdr:colOff>31750</xdr:colOff>
                    <xdr:row>256</xdr:row>
                    <xdr:rowOff>38100</xdr:rowOff>
                  </to>
                </anchor>
              </controlPr>
            </control>
          </mc:Choice>
        </mc:AlternateContent>
        <mc:AlternateContent xmlns:mc="http://schemas.openxmlformats.org/markup-compatibility/2006">
          <mc:Choice Requires="x14">
            <control shapeId="2059" r:id="rId14" name="Button 11">
              <controlPr defaultSize="0" print="0" autoFill="0" autoPict="0" macro="[0]!MINPUT">
                <anchor moveWithCells="1" sizeWithCells="1">
                  <from>
                    <xdr:col>15</xdr:col>
                    <xdr:colOff>31750</xdr:colOff>
                    <xdr:row>293</xdr:row>
                    <xdr:rowOff>107950</xdr:rowOff>
                  </from>
                  <to>
                    <xdr:col>18</xdr:col>
                    <xdr:colOff>0</xdr:colOff>
                    <xdr:row>296</xdr:row>
                    <xdr:rowOff>69850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G17"/>
  <sheetViews>
    <sheetView workbookViewId="0">
      <pane xSplit="18840" topLeftCell="CA1"/>
      <selection activeCell="F16" sqref="F16"/>
      <selection pane="topRight" activeCell="I1" sqref="I1"/>
    </sheetView>
  </sheetViews>
  <sheetFormatPr defaultRowHeight="14.5" x14ac:dyDescent="0.35"/>
  <cols>
    <col min="1" max="1" width="22.1796875" customWidth="1"/>
    <col min="2" max="2" width="16.81640625" customWidth="1"/>
    <col min="3" max="3" width="16.1796875" customWidth="1"/>
    <col min="4" max="4" width="13.26953125" customWidth="1"/>
    <col min="8" max="8" width="10.54296875" customWidth="1"/>
  </cols>
  <sheetData>
    <row r="1" spans="1:85" x14ac:dyDescent="0.35">
      <c r="A1" t="s">
        <v>76</v>
      </c>
      <c r="B1" t="s">
        <v>78</v>
      </c>
      <c r="C1" t="s">
        <v>79</v>
      </c>
      <c r="D1" t="s">
        <v>80</v>
      </c>
      <c r="E1" t="s">
        <v>81</v>
      </c>
      <c r="F1" t="s">
        <v>82</v>
      </c>
      <c r="G1" t="s">
        <v>81</v>
      </c>
      <c r="H1" t="s">
        <v>83</v>
      </c>
      <c r="CD1" t="s">
        <v>84</v>
      </c>
      <c r="CE1" t="s">
        <v>87</v>
      </c>
      <c r="CF1" t="s">
        <v>86</v>
      </c>
      <c r="CG1" t="s">
        <v>85</v>
      </c>
    </row>
    <row r="2" spans="1:85" x14ac:dyDescent="0.35">
      <c r="A2" t="s">
        <v>60</v>
      </c>
      <c r="B2" s="33">
        <v>4.8</v>
      </c>
      <c r="C2" s="33">
        <v>14.5</v>
      </c>
      <c r="D2">
        <f>AVERAGE(B2:C2)</f>
        <v>9.65</v>
      </c>
      <c r="E2" s="33" t="s">
        <v>84</v>
      </c>
      <c r="F2" s="32">
        <v>108.02</v>
      </c>
      <c r="G2" s="33" t="s">
        <v>85</v>
      </c>
      <c r="H2" s="36">
        <f>D2*(HLOOKUP(E2,$CD$1:$CG$5,IF(G2="oz", 2, IF(G2="pt",3, IF(G2="qt", 4,5)))))*F2</f>
        <v>8.1442165089999996</v>
      </c>
      <c r="CC2" t="s">
        <v>84</v>
      </c>
      <c r="CD2">
        <v>1</v>
      </c>
      <c r="CE2">
        <v>16</v>
      </c>
      <c r="CF2">
        <v>32</v>
      </c>
      <c r="CG2">
        <v>128</v>
      </c>
    </row>
    <row r="3" spans="1:85" x14ac:dyDescent="0.35">
      <c r="A3" t="s">
        <v>61</v>
      </c>
      <c r="B3" s="33">
        <v>8</v>
      </c>
      <c r="C3" s="33">
        <v>16</v>
      </c>
      <c r="D3">
        <f t="shared" ref="D3:D15" si="0">AVERAGE(B3:C3)</f>
        <v>12</v>
      </c>
      <c r="E3" s="33" t="s">
        <v>84</v>
      </c>
      <c r="F3" s="32"/>
      <c r="G3" s="33"/>
      <c r="H3" s="36">
        <f t="shared" ref="H3:H15" si="1">D3*(HLOOKUP(E3,$CD$1:$CG$5,IF(G3="oz", 2, IF(G3="pt",3, IF(G3="qt", 4,5)))))*F3</f>
        <v>0</v>
      </c>
      <c r="CC3" t="s">
        <v>87</v>
      </c>
      <c r="CD3">
        <v>6.25E-2</v>
      </c>
      <c r="CE3">
        <v>1</v>
      </c>
      <c r="CF3">
        <v>2</v>
      </c>
      <c r="CG3">
        <v>8</v>
      </c>
    </row>
    <row r="4" spans="1:85" x14ac:dyDescent="0.35">
      <c r="A4" t="s">
        <v>62</v>
      </c>
      <c r="B4" s="33">
        <v>1.4</v>
      </c>
      <c r="C4" s="33">
        <v>5</v>
      </c>
      <c r="D4">
        <f t="shared" si="0"/>
        <v>3.2</v>
      </c>
      <c r="E4" s="33" t="s">
        <v>87</v>
      </c>
      <c r="F4" s="32">
        <v>41.14</v>
      </c>
      <c r="G4" s="33" t="s">
        <v>85</v>
      </c>
      <c r="H4" s="36">
        <f t="shared" si="1"/>
        <v>16.456</v>
      </c>
      <c r="CC4" t="s">
        <v>86</v>
      </c>
      <c r="CD4">
        <v>3.1199999999999999E-2</v>
      </c>
      <c r="CE4">
        <v>0.5</v>
      </c>
      <c r="CF4">
        <v>1</v>
      </c>
      <c r="CG4">
        <v>4</v>
      </c>
    </row>
    <row r="5" spans="1:85" x14ac:dyDescent="0.35">
      <c r="A5" t="s">
        <v>63</v>
      </c>
      <c r="B5" s="33">
        <v>2.56</v>
      </c>
      <c r="C5" s="33">
        <v>5.12</v>
      </c>
      <c r="D5">
        <f t="shared" si="0"/>
        <v>3.84</v>
      </c>
      <c r="E5" s="33" t="s">
        <v>84</v>
      </c>
      <c r="F5" s="32">
        <v>2.4500000000000002</v>
      </c>
      <c r="G5" s="33" t="s">
        <v>84</v>
      </c>
      <c r="H5" s="36">
        <f t="shared" si="1"/>
        <v>9.4079999999999995</v>
      </c>
      <c r="CC5" t="s">
        <v>85</v>
      </c>
      <c r="CD5">
        <v>7.8130000000000005E-3</v>
      </c>
      <c r="CE5">
        <v>0.125</v>
      </c>
      <c r="CF5">
        <v>0.25</v>
      </c>
      <c r="CG5">
        <v>1</v>
      </c>
    </row>
    <row r="6" spans="1:85" x14ac:dyDescent="0.35">
      <c r="A6" t="s">
        <v>77</v>
      </c>
      <c r="B6" s="33">
        <v>1</v>
      </c>
      <c r="C6" s="33">
        <v>3.125</v>
      </c>
      <c r="D6">
        <f t="shared" si="0"/>
        <v>2.0625</v>
      </c>
      <c r="E6" s="33" t="s">
        <v>87</v>
      </c>
      <c r="F6" s="32">
        <v>9.81</v>
      </c>
      <c r="G6" s="33" t="s">
        <v>87</v>
      </c>
      <c r="H6" s="36">
        <f>D6*F6</f>
        <v>20.233125000000001</v>
      </c>
    </row>
    <row r="7" spans="1:85" x14ac:dyDescent="0.35">
      <c r="A7" t="s">
        <v>65</v>
      </c>
      <c r="B7" s="33">
        <v>2.5</v>
      </c>
      <c r="C7" s="33">
        <v>6.25</v>
      </c>
      <c r="D7">
        <f t="shared" si="0"/>
        <v>4.375</v>
      </c>
      <c r="E7" s="33" t="s">
        <v>87</v>
      </c>
      <c r="F7" s="32">
        <v>7.83</v>
      </c>
      <c r="G7" s="33" t="s">
        <v>87</v>
      </c>
      <c r="H7" s="36">
        <f>D7*F7</f>
        <v>34.256250000000001</v>
      </c>
    </row>
    <row r="8" spans="1:85" x14ac:dyDescent="0.35">
      <c r="A8" t="s">
        <v>66</v>
      </c>
      <c r="B8" s="33">
        <v>1</v>
      </c>
      <c r="C8" s="33">
        <v>4</v>
      </c>
      <c r="D8">
        <f t="shared" si="0"/>
        <v>2.5</v>
      </c>
      <c r="E8" s="33" t="s">
        <v>87</v>
      </c>
      <c r="F8" s="32">
        <v>13.2</v>
      </c>
      <c r="G8" s="33" t="s">
        <v>87</v>
      </c>
      <c r="H8" s="36">
        <f t="shared" si="1"/>
        <v>33</v>
      </c>
    </row>
    <row r="9" spans="1:85" x14ac:dyDescent="0.35">
      <c r="A9" t="s">
        <v>67</v>
      </c>
      <c r="B9" s="33">
        <v>0.25</v>
      </c>
      <c r="C9" s="33">
        <v>4</v>
      </c>
      <c r="D9">
        <f t="shared" si="0"/>
        <v>2.125</v>
      </c>
      <c r="E9" s="33" t="s">
        <v>87</v>
      </c>
      <c r="F9" s="32"/>
      <c r="G9" s="33"/>
      <c r="H9" s="36">
        <f t="shared" si="1"/>
        <v>0</v>
      </c>
    </row>
    <row r="10" spans="1:85" x14ac:dyDescent="0.35">
      <c r="A10" t="s">
        <v>68</v>
      </c>
      <c r="B10" s="33">
        <v>6</v>
      </c>
      <c r="C10" s="33">
        <v>8</v>
      </c>
      <c r="D10">
        <f t="shared" si="0"/>
        <v>7</v>
      </c>
      <c r="E10" s="33" t="s">
        <v>87</v>
      </c>
      <c r="F10" s="32">
        <v>12.76</v>
      </c>
      <c r="G10" s="33" t="s">
        <v>87</v>
      </c>
      <c r="H10" s="36">
        <f t="shared" si="1"/>
        <v>89.32</v>
      </c>
      <c r="CD10" t="s">
        <v>88</v>
      </c>
    </row>
    <row r="11" spans="1:85" x14ac:dyDescent="0.35">
      <c r="A11" t="s">
        <v>69</v>
      </c>
      <c r="B11" s="33">
        <v>1.5</v>
      </c>
      <c r="C11" s="33">
        <v>2.25</v>
      </c>
      <c r="D11">
        <f t="shared" si="0"/>
        <v>1.875</v>
      </c>
      <c r="E11" s="33" t="s">
        <v>87</v>
      </c>
      <c r="F11" s="32"/>
      <c r="G11" s="33"/>
      <c r="H11" s="36">
        <f t="shared" si="1"/>
        <v>0</v>
      </c>
    </row>
    <row r="12" spans="1:85" x14ac:dyDescent="0.35">
      <c r="A12" t="s">
        <v>72</v>
      </c>
      <c r="B12" s="33">
        <v>9.1999999999999993</v>
      </c>
      <c r="C12" s="33">
        <v>12.3</v>
      </c>
      <c r="D12">
        <f t="shared" si="0"/>
        <v>10.75</v>
      </c>
      <c r="E12" s="33" t="s">
        <v>84</v>
      </c>
      <c r="F12" s="32"/>
      <c r="G12" s="33"/>
      <c r="H12" s="36">
        <f t="shared" si="1"/>
        <v>0</v>
      </c>
      <c r="CD12" t="s">
        <v>89</v>
      </c>
    </row>
    <row r="13" spans="1:85" x14ac:dyDescent="0.35">
      <c r="A13" t="s">
        <v>73</v>
      </c>
      <c r="B13" s="33">
        <v>2</v>
      </c>
      <c r="C13" s="33">
        <v>4</v>
      </c>
      <c r="D13">
        <f t="shared" si="0"/>
        <v>3</v>
      </c>
      <c r="E13" s="33" t="s">
        <v>84</v>
      </c>
      <c r="F13" s="32"/>
      <c r="G13" s="33"/>
      <c r="H13" s="36">
        <f t="shared" si="1"/>
        <v>0</v>
      </c>
    </row>
    <row r="14" spans="1:85" x14ac:dyDescent="0.35">
      <c r="A14" t="s">
        <v>74</v>
      </c>
      <c r="B14" s="33">
        <v>10.5</v>
      </c>
      <c r="C14" s="33">
        <v>14.5</v>
      </c>
      <c r="D14">
        <f t="shared" si="0"/>
        <v>12.5</v>
      </c>
      <c r="E14" s="33" t="s">
        <v>84</v>
      </c>
      <c r="F14" s="32"/>
      <c r="G14" s="33"/>
      <c r="H14" s="36">
        <f t="shared" si="1"/>
        <v>0</v>
      </c>
    </row>
    <row r="15" spans="1:85" x14ac:dyDescent="0.35">
      <c r="A15" t="s">
        <v>75</v>
      </c>
      <c r="B15" s="33">
        <v>4</v>
      </c>
      <c r="C15" s="33">
        <v>4</v>
      </c>
      <c r="D15">
        <f t="shared" si="0"/>
        <v>4</v>
      </c>
      <c r="E15" s="33" t="s">
        <v>87</v>
      </c>
      <c r="F15" s="32">
        <v>13.97</v>
      </c>
      <c r="G15" s="33" t="s">
        <v>87</v>
      </c>
      <c r="H15" s="36">
        <f t="shared" si="1"/>
        <v>55.88</v>
      </c>
    </row>
    <row r="16" spans="1:85" x14ac:dyDescent="0.35">
      <c r="A16" t="s">
        <v>93</v>
      </c>
      <c r="B16" s="33"/>
      <c r="C16" s="33"/>
      <c r="F16" s="32"/>
    </row>
    <row r="17" spans="6:6" x14ac:dyDescent="0.35">
      <c r="F17" s="30"/>
    </row>
  </sheetData>
  <sheetProtection sheet="1" objects="1" scenarios="1" selectLockedCells="1"/>
  <dataValidations count="1">
    <dataValidation type="list" allowBlank="1" showInputMessage="1" showErrorMessage="1" sqref="G2:G15 E2:E15" xr:uid="{00000000-0002-0000-0500-000000000000}">
      <formula1>$CC$2:$CC$5</formula1>
    </dataValidation>
  </dataValidations>
  <pageMargins left="0.7" right="0.7" top="0.75" bottom="0.75" header="0.3" footer="0.3"/>
  <pageSetup paperSize="0"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BS94"/>
  <sheetViews>
    <sheetView tabSelected="1" zoomScaleNormal="100" workbookViewId="0">
      <selection activeCell="BH17" sqref="BH17"/>
    </sheetView>
  </sheetViews>
  <sheetFormatPr defaultRowHeight="14.5" x14ac:dyDescent="0.35"/>
  <cols>
    <col min="1" max="1" width="18.26953125" customWidth="1"/>
    <col min="2" max="4" width="10.7265625" customWidth="1"/>
  </cols>
  <sheetData>
    <row r="2" spans="1:61" x14ac:dyDescent="0.35">
      <c r="A2" t="s">
        <v>188</v>
      </c>
      <c r="B2" s="136">
        <v>1</v>
      </c>
      <c r="C2" s="136">
        <f>B2+1</f>
        <v>2</v>
      </c>
      <c r="D2" s="136">
        <f t="shared" ref="D2:BI2" si="0">C2+1</f>
        <v>3</v>
      </c>
      <c r="E2" s="136">
        <f t="shared" si="0"/>
        <v>4</v>
      </c>
      <c r="F2" s="136">
        <f t="shared" si="0"/>
        <v>5</v>
      </c>
      <c r="G2" s="136">
        <f t="shared" si="0"/>
        <v>6</v>
      </c>
      <c r="H2" s="136">
        <f t="shared" si="0"/>
        <v>7</v>
      </c>
      <c r="I2" s="136">
        <f t="shared" si="0"/>
        <v>8</v>
      </c>
      <c r="J2" s="136">
        <f t="shared" si="0"/>
        <v>9</v>
      </c>
      <c r="K2" s="136">
        <f t="shared" si="0"/>
        <v>10</v>
      </c>
      <c r="L2" s="136">
        <f t="shared" si="0"/>
        <v>11</v>
      </c>
      <c r="M2" s="136">
        <f t="shared" si="0"/>
        <v>12</v>
      </c>
      <c r="N2" s="136">
        <f t="shared" si="0"/>
        <v>13</v>
      </c>
      <c r="O2" s="136">
        <f t="shared" si="0"/>
        <v>14</v>
      </c>
      <c r="P2" s="136">
        <f t="shared" si="0"/>
        <v>15</v>
      </c>
      <c r="Q2" s="136">
        <f t="shared" si="0"/>
        <v>16</v>
      </c>
      <c r="R2" s="136">
        <f t="shared" si="0"/>
        <v>17</v>
      </c>
      <c r="S2" s="136">
        <f t="shared" si="0"/>
        <v>18</v>
      </c>
      <c r="T2" s="136">
        <f t="shared" si="0"/>
        <v>19</v>
      </c>
      <c r="U2" s="136">
        <f t="shared" si="0"/>
        <v>20</v>
      </c>
      <c r="V2" s="136">
        <f t="shared" si="0"/>
        <v>21</v>
      </c>
      <c r="W2" s="136">
        <f t="shared" si="0"/>
        <v>22</v>
      </c>
      <c r="X2" s="136">
        <f t="shared" si="0"/>
        <v>23</v>
      </c>
      <c r="Y2" s="136">
        <f t="shared" si="0"/>
        <v>24</v>
      </c>
      <c r="Z2" s="136">
        <f t="shared" si="0"/>
        <v>25</v>
      </c>
      <c r="AA2" s="136">
        <f t="shared" si="0"/>
        <v>26</v>
      </c>
      <c r="AB2" s="136">
        <f t="shared" si="0"/>
        <v>27</v>
      </c>
      <c r="AC2" s="136">
        <f t="shared" si="0"/>
        <v>28</v>
      </c>
      <c r="AD2" s="136">
        <f t="shared" si="0"/>
        <v>29</v>
      </c>
      <c r="AE2" s="136">
        <f t="shared" si="0"/>
        <v>30</v>
      </c>
      <c r="AF2" s="136">
        <f t="shared" si="0"/>
        <v>31</v>
      </c>
      <c r="AG2" s="136">
        <f t="shared" si="0"/>
        <v>32</v>
      </c>
      <c r="AH2" s="136">
        <f t="shared" si="0"/>
        <v>33</v>
      </c>
      <c r="AI2" s="136">
        <f t="shared" si="0"/>
        <v>34</v>
      </c>
      <c r="AJ2" s="136">
        <f t="shared" si="0"/>
        <v>35</v>
      </c>
      <c r="AK2" s="136">
        <f t="shared" si="0"/>
        <v>36</v>
      </c>
      <c r="AL2" s="136">
        <f t="shared" si="0"/>
        <v>37</v>
      </c>
      <c r="AM2" s="136">
        <f t="shared" si="0"/>
        <v>38</v>
      </c>
      <c r="AN2" s="136">
        <f t="shared" si="0"/>
        <v>39</v>
      </c>
      <c r="AO2" s="136">
        <f t="shared" si="0"/>
        <v>40</v>
      </c>
      <c r="AP2" s="136">
        <f t="shared" si="0"/>
        <v>41</v>
      </c>
      <c r="AQ2" s="136">
        <f t="shared" si="0"/>
        <v>42</v>
      </c>
      <c r="AR2" s="136">
        <f t="shared" si="0"/>
        <v>43</v>
      </c>
      <c r="AS2" s="136">
        <f t="shared" si="0"/>
        <v>44</v>
      </c>
      <c r="AT2" s="136">
        <f t="shared" si="0"/>
        <v>45</v>
      </c>
      <c r="AU2" s="136">
        <f t="shared" si="0"/>
        <v>46</v>
      </c>
      <c r="AV2" s="136">
        <f t="shared" si="0"/>
        <v>47</v>
      </c>
      <c r="AW2" s="136">
        <f t="shared" si="0"/>
        <v>48</v>
      </c>
      <c r="AX2" s="136">
        <f t="shared" si="0"/>
        <v>49</v>
      </c>
      <c r="AY2" s="136">
        <f t="shared" si="0"/>
        <v>50</v>
      </c>
      <c r="AZ2" s="136">
        <f t="shared" si="0"/>
        <v>51</v>
      </c>
      <c r="BA2" s="136">
        <f t="shared" si="0"/>
        <v>52</v>
      </c>
      <c r="BB2" s="136">
        <f t="shared" si="0"/>
        <v>53</v>
      </c>
      <c r="BC2" s="136">
        <f t="shared" si="0"/>
        <v>54</v>
      </c>
      <c r="BD2" s="136">
        <f t="shared" si="0"/>
        <v>55</v>
      </c>
      <c r="BE2" s="136">
        <f t="shared" si="0"/>
        <v>56</v>
      </c>
      <c r="BF2" s="136">
        <f t="shared" si="0"/>
        <v>57</v>
      </c>
      <c r="BG2" s="136">
        <f t="shared" si="0"/>
        <v>58</v>
      </c>
      <c r="BH2" s="136">
        <f>BG2+1</f>
        <v>59</v>
      </c>
      <c r="BI2" s="136">
        <f t="shared" si="0"/>
        <v>60</v>
      </c>
    </row>
    <row r="3" spans="1:61" x14ac:dyDescent="0.35">
      <c r="A3" t="s">
        <v>189</v>
      </c>
      <c r="B3" s="88">
        <f>'Financial Analysis'!D2</f>
        <v>0.5</v>
      </c>
      <c r="C3" s="88">
        <f>'Financial Analysis'!E2</f>
        <v>1</v>
      </c>
      <c r="D3" s="88">
        <f>'Financial Analysis'!F2</f>
        <v>1.5</v>
      </c>
      <c r="E3" s="88">
        <f>'Financial Analysis'!G2</f>
        <v>2</v>
      </c>
      <c r="F3" s="88">
        <f>'Financial Analysis'!H2</f>
        <v>2.5</v>
      </c>
      <c r="G3" s="88">
        <f>'Financial Analysis'!I2</f>
        <v>3</v>
      </c>
      <c r="H3" s="88">
        <f ca="1">'Financial Analysis'!J2</f>
        <v>3.5</v>
      </c>
      <c r="I3" s="88">
        <f ca="1">'Financial Analysis'!K2</f>
        <v>4</v>
      </c>
      <c r="J3" s="88">
        <f ca="1">'Financial Analysis'!L2</f>
        <v>4.5</v>
      </c>
      <c r="K3" s="88">
        <f ca="1">'Financial Analysis'!M2</f>
        <v>5</v>
      </c>
      <c r="L3" s="88">
        <f ca="1">'Financial Analysis'!N2</f>
        <v>5.5</v>
      </c>
      <c r="M3" s="88">
        <f ca="1">'Financial Analysis'!O2</f>
        <v>6</v>
      </c>
      <c r="N3" s="88">
        <f ca="1">'Financial Analysis'!P2</f>
        <v>6.5</v>
      </c>
      <c r="O3" s="88">
        <f ca="1">'Financial Analysis'!Q2</f>
        <v>7</v>
      </c>
      <c r="P3" s="88">
        <f ca="1">'Financial Analysis'!R2</f>
        <v>7.5</v>
      </c>
      <c r="Q3" s="88">
        <f ca="1">'Financial Analysis'!S2</f>
        <v>8</v>
      </c>
      <c r="R3" s="88">
        <f ca="1">'Financial Analysis'!T2</f>
        <v>8.4527724227186773</v>
      </c>
      <c r="S3" s="88">
        <f ca="1">'Financial Analysis'!U2</f>
        <v>8.8886574090997819</v>
      </c>
      <c r="T3" s="88">
        <f ca="1">'Financial Analysis'!V2</f>
        <v>9.3068302397791296</v>
      </c>
      <c r="U3" s="88">
        <f ca="1">'Financial Analysis'!W2</f>
        <v>9.7067450453782733</v>
      </c>
      <c r="V3" s="88">
        <f ca="1">'Financial Analysis'!X2</f>
        <v>10.113819169639587</v>
      </c>
      <c r="W3" s="88">
        <f ca="1">'Financial Analysis'!Y2</f>
        <v>10.503395938474448</v>
      </c>
      <c r="X3" s="88">
        <f ca="1">'Financial Analysis'!Z2</f>
        <v>10.902207252681492</v>
      </c>
      <c r="Y3" s="88">
        <f ca="1">'Financial Analysis'!AA2</f>
        <v>11.309971719632619</v>
      </c>
      <c r="Z3" s="88">
        <f ca="1">'Financial Analysis'!AB2</f>
        <v>11.702043077003092</v>
      </c>
      <c r="AA3" s="88">
        <f ca="1">'Financial Analysis'!AC2</f>
        <v>12.104633284309825</v>
      </c>
      <c r="AB3" s="88">
        <f ca="1">'Financial Analysis'!AD2</f>
        <v>12.492292759981952</v>
      </c>
      <c r="AC3" s="88">
        <f ca="1">'Financial Analysis'!AE2</f>
        <v>12.891728390528755</v>
      </c>
      <c r="AD3" s="88">
        <f ca="1">'Financial Analysis'!AF2</f>
        <v>13.302219282457045</v>
      </c>
      <c r="AE3" s="88">
        <f ca="1">'Financial Analysis'!AG2</f>
        <v>13.69939766430379</v>
      </c>
      <c r="AF3" s="88">
        <f ca="1">'Financial Analysis'!AH2</f>
        <v>14.108549595367652</v>
      </c>
      <c r="AG3" s="88">
        <f ca="1">'Financial Analysis'!AI2</f>
        <v>14.505069767795534</v>
      </c>
      <c r="AH3" s="88">
        <f ca="1">'Financial Analysis'!AJ2</f>
        <v>14.914257458017573</v>
      </c>
      <c r="AI3" s="88">
        <f ca="1">'Financial Analysis'!AK2</f>
        <v>15.311475229204524</v>
      </c>
      <c r="AJ3" s="88">
        <f ca="1">'Financial Analysis'!AL2</f>
        <v>15.721858852768426</v>
      </c>
      <c r="AK3" s="88">
        <f ca="1">'Financial Analysis'!AM2</f>
        <v>16.120912711264086</v>
      </c>
      <c r="AL3" s="88">
        <f ca="1">'Financial Analysis'!AN2</f>
        <v>16.533461800679877</v>
      </c>
      <c r="AM3" s="88">
        <f ca="1">'Financial Analysis'!AO2</f>
        <v>16.935299088939541</v>
      </c>
      <c r="AN3" s="88">
        <f ca="1">'Financial Analysis'!AP2</f>
        <v>17.326315678791062</v>
      </c>
      <c r="AO3" s="88">
        <f ca="1">'Financial Analysis'!AQ2</f>
        <v>17.732323872968035</v>
      </c>
      <c r="AP3" s="88">
        <f ca="1">'Financial Analysis'!AR2</f>
        <v>18.128111170349218</v>
      </c>
      <c r="AQ3" s="88">
        <f ca="1">'Financial Analysis'!AS2</f>
        <v>18.538805182588153</v>
      </c>
      <c r="AR3" s="88">
        <f ca="1">'Financial Analysis'!AT2</f>
        <v>18.93985664374086</v>
      </c>
      <c r="AS3" s="88">
        <f ca="1">'Financial Analysis'!AU2</f>
        <v>19.331180687227238</v>
      </c>
      <c r="AT3" s="88">
        <f ca="1">'Financial Analysis'!AV2</f>
        <v>19.738424564310154</v>
      </c>
      <c r="AU3" s="88">
        <f ca="1">'Financial Analysis'!AW2</f>
        <v>20.13649601592936</v>
      </c>
      <c r="AV3" s="88">
        <f ca="1">'Financial Analysis'!AX2</f>
        <v>20.55010682650272</v>
      </c>
      <c r="AW3" s="88">
        <f ca="1">'Financial Analysis'!AY2</f>
        <v>20.955083433425138</v>
      </c>
      <c r="AX3" s="88">
        <f ca="1">'Financial Analysis'!AZ2</f>
        <v>21.351346933734838</v>
      </c>
      <c r="AY3" s="88">
        <f ca="1">'Financial Analysis'!BA2</f>
        <v>21.763790845640742</v>
      </c>
      <c r="AZ3" s="88">
        <f ca="1">'Financial Analysis'!BB2</f>
        <v>22.168038617757848</v>
      </c>
      <c r="BA3" s="88">
        <f ca="1">'Financial Analysis'!BC2</f>
        <v>22.564021275008137</v>
      </c>
      <c r="BB3" s="88">
        <f ca="1">'Financial Analysis'!BD2</f>
        <v>22.97661669270126</v>
      </c>
      <c r="BC3" s="88">
        <f ca="1">'Financial Analysis'!BE2</f>
        <v>23.381443833531559</v>
      </c>
      <c r="BD3" s="88">
        <f ca="1">'Financial Analysis'!BF2</f>
        <v>23.778439516451048</v>
      </c>
      <c r="BE3" s="88">
        <f ca="1">'Financial Analysis'!BG2</f>
        <v>24.192300099439326</v>
      </c>
      <c r="BF3" s="88">
        <f ca="1">'Financial Analysis'!BH2</f>
        <v>24.598807799881346</v>
      </c>
      <c r="BG3" s="88">
        <f ca="1">'Financial Analysis'!BI2</f>
        <v>24.997902505780591</v>
      </c>
      <c r="BH3" s="88">
        <f ca="1">'Financial Analysis'!BJ2</f>
        <v>25.413959606944459</v>
      </c>
      <c r="BI3" s="88">
        <f ca="1">'Financial Analysis'!BK2</f>
        <v>25.823066030044853</v>
      </c>
    </row>
    <row r="4" spans="1:61" x14ac:dyDescent="0.35">
      <c r="A4" t="s">
        <v>200</v>
      </c>
      <c r="B4" s="88">
        <f>0.0016*(B2^3)-0.2308*(B2^2)+10.338*B2-22.378</f>
        <v>-12.269200000000001</v>
      </c>
      <c r="C4" s="88">
        <f t="shared" ref="C4:BI4" si="1">0.0016*(C2^3)-0.2308*(C2^2)+10.338*C2-22.378</f>
        <v>-2.6124000000000009</v>
      </c>
      <c r="D4" s="88">
        <f t="shared" si="1"/>
        <v>6.6019999999999968</v>
      </c>
      <c r="E4" s="88">
        <f t="shared" si="1"/>
        <v>15.383599999999994</v>
      </c>
      <c r="F4" s="88">
        <f t="shared" si="1"/>
        <v>23.741999999999997</v>
      </c>
      <c r="G4" s="88">
        <f t="shared" si="1"/>
        <v>31.686799999999991</v>
      </c>
      <c r="H4" s="88">
        <f t="shared" si="1"/>
        <v>39.227599999999995</v>
      </c>
      <c r="I4" s="88">
        <f t="shared" si="1"/>
        <v>46.373999999999995</v>
      </c>
      <c r="J4" s="88">
        <f t="shared" si="1"/>
        <v>53.135599999999982</v>
      </c>
      <c r="K4" s="88">
        <f t="shared" si="1"/>
        <v>59.521999999999991</v>
      </c>
      <c r="L4" s="88">
        <f t="shared" si="1"/>
        <v>65.542799999999986</v>
      </c>
      <c r="M4" s="88">
        <f t="shared" si="1"/>
        <v>71.207599999999985</v>
      </c>
      <c r="N4" s="88">
        <f t="shared" si="1"/>
        <v>76.525999999999968</v>
      </c>
      <c r="O4" s="88">
        <f t="shared" si="1"/>
        <v>81.507599999999996</v>
      </c>
      <c r="P4" s="88">
        <f t="shared" si="1"/>
        <v>86.161999999999992</v>
      </c>
      <c r="Q4" s="88">
        <f t="shared" si="1"/>
        <v>90.498799999999989</v>
      </c>
      <c r="R4" s="88">
        <f t="shared" si="1"/>
        <v>94.527599999999978</v>
      </c>
      <c r="S4" s="88">
        <f t="shared" si="1"/>
        <v>98.257999999999967</v>
      </c>
      <c r="T4" s="88">
        <f t="shared" si="1"/>
        <v>101.6996</v>
      </c>
      <c r="U4" s="88">
        <f t="shared" si="1"/>
        <v>104.86199999999998</v>
      </c>
      <c r="V4" s="88">
        <f t="shared" si="1"/>
        <v>107.75479999999997</v>
      </c>
      <c r="W4" s="88">
        <f t="shared" si="1"/>
        <v>110.38759999999998</v>
      </c>
      <c r="X4" s="88">
        <f t="shared" si="1"/>
        <v>112.76999999999997</v>
      </c>
      <c r="Y4" s="88">
        <f t="shared" si="1"/>
        <v>114.91159999999998</v>
      </c>
      <c r="Z4" s="88">
        <f t="shared" si="1"/>
        <v>116.82199999999999</v>
      </c>
      <c r="AA4" s="88">
        <f t="shared" si="1"/>
        <v>118.51079999999995</v>
      </c>
      <c r="AB4" s="88">
        <f t="shared" si="1"/>
        <v>119.98759999999997</v>
      </c>
      <c r="AC4" s="88">
        <f t="shared" si="1"/>
        <v>121.26199999999999</v>
      </c>
      <c r="AD4" s="88">
        <f t="shared" si="1"/>
        <v>122.34359999999997</v>
      </c>
      <c r="AE4" s="88">
        <f t="shared" si="1"/>
        <v>123.242</v>
      </c>
      <c r="AF4" s="88">
        <f t="shared" si="1"/>
        <v>123.96679999999996</v>
      </c>
      <c r="AG4" s="88">
        <f t="shared" si="1"/>
        <v>124.52759999999996</v>
      </c>
      <c r="AH4" s="88">
        <f t="shared" si="1"/>
        <v>124.93399999999998</v>
      </c>
      <c r="AI4" s="88">
        <f t="shared" si="1"/>
        <v>125.19559999999997</v>
      </c>
      <c r="AJ4" s="88">
        <f t="shared" si="1"/>
        <v>125.32199999999999</v>
      </c>
      <c r="AK4" s="88">
        <f t="shared" si="1"/>
        <v>125.32279999999996</v>
      </c>
      <c r="AL4" s="88">
        <f t="shared" si="1"/>
        <v>125.2076</v>
      </c>
      <c r="AM4" s="88">
        <f t="shared" si="1"/>
        <v>124.98600000000003</v>
      </c>
      <c r="AN4" s="88">
        <f t="shared" si="1"/>
        <v>124.66759999999998</v>
      </c>
      <c r="AO4" s="88">
        <f t="shared" si="1"/>
        <v>124.26199999999999</v>
      </c>
      <c r="AP4" s="88">
        <f t="shared" si="1"/>
        <v>123.77879999999992</v>
      </c>
      <c r="AQ4" s="88">
        <f t="shared" si="1"/>
        <v>123.22759999999992</v>
      </c>
      <c r="AR4" s="88">
        <f t="shared" si="1"/>
        <v>122.61799999999998</v>
      </c>
      <c r="AS4" s="88">
        <f t="shared" si="1"/>
        <v>121.95959999999995</v>
      </c>
      <c r="AT4" s="88">
        <f t="shared" si="1"/>
        <v>121.26199999999999</v>
      </c>
      <c r="AU4" s="88">
        <f t="shared" si="1"/>
        <v>120.5348</v>
      </c>
      <c r="AV4" s="88">
        <f t="shared" si="1"/>
        <v>119.78759999999998</v>
      </c>
      <c r="AW4" s="88">
        <f t="shared" si="1"/>
        <v>119.02999999999996</v>
      </c>
      <c r="AX4" s="88">
        <f t="shared" si="1"/>
        <v>118.27159999999996</v>
      </c>
      <c r="AY4" s="88">
        <f t="shared" si="1"/>
        <v>117.52199999999998</v>
      </c>
      <c r="AZ4" s="88">
        <f t="shared" si="1"/>
        <v>116.79079999999998</v>
      </c>
      <c r="BA4" s="88">
        <f t="shared" si="1"/>
        <v>116.08759999999988</v>
      </c>
      <c r="BB4" s="88">
        <f t="shared" si="1"/>
        <v>115.42199999999995</v>
      </c>
      <c r="BC4" s="88">
        <f t="shared" si="1"/>
        <v>114.8036</v>
      </c>
      <c r="BD4" s="88">
        <f t="shared" si="1"/>
        <v>114.24199999999995</v>
      </c>
      <c r="BE4" s="88">
        <f t="shared" si="1"/>
        <v>113.74679999999999</v>
      </c>
      <c r="BF4" s="88">
        <f t="shared" si="1"/>
        <v>113.3276</v>
      </c>
      <c r="BG4" s="88">
        <f t="shared" si="1"/>
        <v>112.99399999999996</v>
      </c>
      <c r="BH4" s="88">
        <f t="shared" si="1"/>
        <v>112.7556</v>
      </c>
      <c r="BI4" s="88">
        <f t="shared" si="1"/>
        <v>112.622</v>
      </c>
    </row>
    <row r="5" spans="1:61" x14ac:dyDescent="0.35">
      <c r="A5" t="s">
        <v>201</v>
      </c>
      <c r="B5" s="88">
        <f>0.0012*(B2^3)-0.1701*(B2^2)+7.4625*(B2)-14.91</f>
        <v>-7.6163999999999996</v>
      </c>
      <c r="C5" s="88">
        <f t="shared" ref="C5:BI5" si="2">0.0012*(C2^3)-0.1701*(C2^2)+7.4625*(C2)-14.91</f>
        <v>-0.65579999999999927</v>
      </c>
      <c r="D5" s="88">
        <f t="shared" si="2"/>
        <v>5.9790000000000028</v>
      </c>
      <c r="E5" s="88">
        <f t="shared" si="2"/>
        <v>12.295200000000001</v>
      </c>
      <c r="F5" s="88">
        <f t="shared" si="2"/>
        <v>18.3</v>
      </c>
      <c r="G5" s="88">
        <f t="shared" si="2"/>
        <v>24.000600000000002</v>
      </c>
      <c r="H5" s="88">
        <f t="shared" si="2"/>
        <v>29.404200000000007</v>
      </c>
      <c r="I5" s="88">
        <f t="shared" si="2"/>
        <v>34.518000000000001</v>
      </c>
      <c r="J5" s="88">
        <f t="shared" si="2"/>
        <v>39.34920000000001</v>
      </c>
      <c r="K5" s="88">
        <f t="shared" si="2"/>
        <v>43.905000000000001</v>
      </c>
      <c r="L5" s="88">
        <f t="shared" si="2"/>
        <v>48.192600000000013</v>
      </c>
      <c r="M5" s="88">
        <f t="shared" si="2"/>
        <v>52.219200000000015</v>
      </c>
      <c r="N5" s="88">
        <f t="shared" si="2"/>
        <v>55.992000000000004</v>
      </c>
      <c r="O5" s="88">
        <f t="shared" si="2"/>
        <v>59.518200000000007</v>
      </c>
      <c r="P5" s="88">
        <f t="shared" si="2"/>
        <v>62.805000000000007</v>
      </c>
      <c r="Q5" s="88">
        <f t="shared" si="2"/>
        <v>65.8596</v>
      </c>
      <c r="R5" s="88">
        <f t="shared" si="2"/>
        <v>68.689200000000014</v>
      </c>
      <c r="S5" s="88">
        <f t="shared" si="2"/>
        <v>71.301000000000016</v>
      </c>
      <c r="T5" s="88">
        <f t="shared" si="2"/>
        <v>73.702199999999991</v>
      </c>
      <c r="U5" s="88">
        <f t="shared" si="2"/>
        <v>75.900000000000006</v>
      </c>
      <c r="V5" s="88">
        <f t="shared" si="2"/>
        <v>77.901600000000002</v>
      </c>
      <c r="W5" s="88">
        <f t="shared" si="2"/>
        <v>79.714200000000005</v>
      </c>
      <c r="X5" s="88">
        <f t="shared" si="2"/>
        <v>81.345000000000013</v>
      </c>
      <c r="Y5" s="88">
        <f t="shared" si="2"/>
        <v>82.801200000000023</v>
      </c>
      <c r="Z5" s="88">
        <f t="shared" si="2"/>
        <v>84.09</v>
      </c>
      <c r="AA5" s="88">
        <f t="shared" si="2"/>
        <v>85.218600000000009</v>
      </c>
      <c r="AB5" s="88">
        <f t="shared" si="2"/>
        <v>86.194200000000023</v>
      </c>
      <c r="AC5" s="88">
        <f t="shared" si="2"/>
        <v>87.024000000000029</v>
      </c>
      <c r="AD5" s="88">
        <f t="shared" si="2"/>
        <v>87.71520000000001</v>
      </c>
      <c r="AE5" s="88">
        <f t="shared" si="2"/>
        <v>88.275000000000006</v>
      </c>
      <c r="AF5" s="88">
        <f t="shared" si="2"/>
        <v>88.710599999999999</v>
      </c>
      <c r="AG5" s="88">
        <f t="shared" si="2"/>
        <v>89.029200000000003</v>
      </c>
      <c r="AH5" s="88">
        <f t="shared" si="2"/>
        <v>89.238</v>
      </c>
      <c r="AI5" s="88">
        <f t="shared" si="2"/>
        <v>89.344200000000001</v>
      </c>
      <c r="AJ5" s="88">
        <f t="shared" si="2"/>
        <v>89.35499999999999</v>
      </c>
      <c r="AK5" s="88">
        <f t="shared" si="2"/>
        <v>89.277600000000035</v>
      </c>
      <c r="AL5" s="88">
        <f t="shared" si="2"/>
        <v>89.119200000000006</v>
      </c>
      <c r="AM5" s="88">
        <f t="shared" si="2"/>
        <v>88.886999999999972</v>
      </c>
      <c r="AN5" s="88">
        <f t="shared" si="2"/>
        <v>88.588200000000001</v>
      </c>
      <c r="AO5" s="88">
        <f t="shared" si="2"/>
        <v>88.22999999999999</v>
      </c>
      <c r="AP5" s="88">
        <f t="shared" si="2"/>
        <v>87.819600000000008</v>
      </c>
      <c r="AQ5" s="88">
        <f t="shared" si="2"/>
        <v>87.364200000000011</v>
      </c>
      <c r="AR5" s="88">
        <f t="shared" si="2"/>
        <v>86.870999999999952</v>
      </c>
      <c r="AS5" s="88">
        <f t="shared" si="2"/>
        <v>86.347200000000015</v>
      </c>
      <c r="AT5" s="88">
        <f t="shared" si="2"/>
        <v>85.800000000000011</v>
      </c>
      <c r="AU5" s="88">
        <f t="shared" si="2"/>
        <v>85.236600000000038</v>
      </c>
      <c r="AV5" s="88">
        <f t="shared" si="2"/>
        <v>84.664200000000022</v>
      </c>
      <c r="AW5" s="88">
        <f t="shared" si="2"/>
        <v>84.09000000000006</v>
      </c>
      <c r="AX5" s="88">
        <f t="shared" si="2"/>
        <v>83.521199999999993</v>
      </c>
      <c r="AY5" s="88">
        <f t="shared" si="2"/>
        <v>82.965000000000003</v>
      </c>
      <c r="AZ5" s="88">
        <f t="shared" si="2"/>
        <v>82.428600000000046</v>
      </c>
      <c r="BA5" s="88">
        <f t="shared" si="2"/>
        <v>81.919199999999961</v>
      </c>
      <c r="BB5" s="88">
        <f t="shared" si="2"/>
        <v>81.444000000000045</v>
      </c>
      <c r="BC5" s="88">
        <f t="shared" si="2"/>
        <v>81.010200000000026</v>
      </c>
      <c r="BD5" s="88">
        <f t="shared" si="2"/>
        <v>80.624999999999972</v>
      </c>
      <c r="BE5" s="88">
        <f t="shared" si="2"/>
        <v>80.295600000000064</v>
      </c>
      <c r="BF5" s="88">
        <f t="shared" si="2"/>
        <v>80.029199999999975</v>
      </c>
      <c r="BG5" s="88">
        <f t="shared" si="2"/>
        <v>79.832999999999998</v>
      </c>
      <c r="BH5" s="88">
        <f t="shared" si="2"/>
        <v>79.714199999999977</v>
      </c>
      <c r="BI5" s="88">
        <f t="shared" si="2"/>
        <v>79.679999999999978</v>
      </c>
    </row>
    <row r="6" spans="1:61" x14ac:dyDescent="0.35">
      <c r="A6" t="s">
        <v>202</v>
      </c>
      <c r="B6" s="107">
        <f>0.0007*(B2^3)-0.095*(B2^2)+4.1643*(B2)-9.7368</f>
        <v>-5.6668000000000003</v>
      </c>
      <c r="C6" s="107">
        <f t="shared" ref="C6:BI6" si="3">0.0007*(C2^3)-0.095*(C2^2)+4.1643*(C2)-9.7368</f>
        <v>-1.7826000000000004</v>
      </c>
      <c r="D6" s="107">
        <f t="shared" si="3"/>
        <v>1.9199999999999982</v>
      </c>
      <c r="E6" s="107">
        <f t="shared" si="3"/>
        <v>5.445199999999998</v>
      </c>
      <c r="F6" s="107">
        <f t="shared" si="3"/>
        <v>8.7971999999999984</v>
      </c>
      <c r="G6" s="107">
        <f t="shared" si="3"/>
        <v>11.980199999999998</v>
      </c>
      <c r="H6" s="107">
        <f t="shared" si="3"/>
        <v>14.998399999999998</v>
      </c>
      <c r="I6" s="107">
        <f t="shared" si="3"/>
        <v>17.855999999999995</v>
      </c>
      <c r="J6" s="107">
        <f t="shared" si="3"/>
        <v>20.557199999999995</v>
      </c>
      <c r="K6" s="107">
        <f t="shared" si="3"/>
        <v>23.106200000000001</v>
      </c>
      <c r="L6" s="107">
        <f t="shared" si="3"/>
        <v>25.507199999999997</v>
      </c>
      <c r="M6" s="107">
        <f t="shared" si="3"/>
        <v>27.764399999999995</v>
      </c>
      <c r="N6" s="107">
        <f t="shared" si="3"/>
        <v>29.881999999999998</v>
      </c>
      <c r="O6" s="107">
        <f t="shared" si="3"/>
        <v>31.864199999999997</v>
      </c>
      <c r="P6" s="107">
        <f t="shared" si="3"/>
        <v>33.715199999999996</v>
      </c>
      <c r="Q6" s="107">
        <f t="shared" si="3"/>
        <v>35.4392</v>
      </c>
      <c r="R6" s="107">
        <f t="shared" si="3"/>
        <v>37.040399999999991</v>
      </c>
      <c r="S6" s="107">
        <f t="shared" si="3"/>
        <v>38.522999999999989</v>
      </c>
      <c r="T6" s="107">
        <f t="shared" si="3"/>
        <v>39.891199999999998</v>
      </c>
      <c r="U6" s="107">
        <f t="shared" si="3"/>
        <v>41.1492</v>
      </c>
      <c r="V6" s="107">
        <f t="shared" si="3"/>
        <v>42.301199999999994</v>
      </c>
      <c r="W6" s="107">
        <f t="shared" si="3"/>
        <v>43.351399999999991</v>
      </c>
      <c r="X6" s="107">
        <f t="shared" si="3"/>
        <v>44.303999999999988</v>
      </c>
      <c r="Y6" s="107">
        <f t="shared" si="3"/>
        <v>45.163199999999989</v>
      </c>
      <c r="Z6" s="107">
        <f t="shared" si="3"/>
        <v>45.933199999999999</v>
      </c>
      <c r="AA6" s="107">
        <f t="shared" si="3"/>
        <v>46.618200000000002</v>
      </c>
      <c r="AB6" s="107">
        <f t="shared" si="3"/>
        <v>47.2224</v>
      </c>
      <c r="AC6" s="107">
        <f t="shared" si="3"/>
        <v>47.749999999999986</v>
      </c>
      <c r="AD6" s="107">
        <f t="shared" si="3"/>
        <v>48.205199999999991</v>
      </c>
      <c r="AE6" s="107">
        <f t="shared" si="3"/>
        <v>48.592200000000005</v>
      </c>
      <c r="AF6" s="107">
        <f t="shared" si="3"/>
        <v>48.915199999999999</v>
      </c>
      <c r="AG6" s="107">
        <f t="shared" si="3"/>
        <v>49.178399999999996</v>
      </c>
      <c r="AH6" s="107">
        <f t="shared" si="3"/>
        <v>49.385999999999996</v>
      </c>
      <c r="AI6" s="107">
        <f t="shared" si="3"/>
        <v>49.54219999999998</v>
      </c>
      <c r="AJ6" s="107">
        <f t="shared" si="3"/>
        <v>49.651199999999989</v>
      </c>
      <c r="AK6" s="107">
        <f t="shared" si="3"/>
        <v>49.717199999999977</v>
      </c>
      <c r="AL6" s="107">
        <f t="shared" si="3"/>
        <v>49.74439999999997</v>
      </c>
      <c r="AM6" s="107">
        <f t="shared" si="3"/>
        <v>49.737000000000009</v>
      </c>
      <c r="AN6" s="107">
        <f t="shared" si="3"/>
        <v>49.699200000000005</v>
      </c>
      <c r="AO6" s="107">
        <f t="shared" si="3"/>
        <v>49.635199999999998</v>
      </c>
      <c r="AP6" s="107">
        <f t="shared" si="3"/>
        <v>49.549199999999999</v>
      </c>
      <c r="AQ6" s="107">
        <f t="shared" si="3"/>
        <v>49.445399999999992</v>
      </c>
      <c r="AR6" s="107">
        <f t="shared" si="3"/>
        <v>49.327999999999989</v>
      </c>
      <c r="AS6" s="107">
        <f t="shared" si="3"/>
        <v>49.201199999999972</v>
      </c>
      <c r="AT6" s="107">
        <f t="shared" si="3"/>
        <v>49.069199999999981</v>
      </c>
      <c r="AU6" s="107">
        <f t="shared" si="3"/>
        <v>48.936199999999971</v>
      </c>
      <c r="AV6" s="107">
        <f t="shared" si="3"/>
        <v>48.806399999999982</v>
      </c>
      <c r="AW6" s="107">
        <f t="shared" si="3"/>
        <v>48.683999999999983</v>
      </c>
      <c r="AX6" s="107">
        <f t="shared" si="3"/>
        <v>48.5732</v>
      </c>
      <c r="AY6" s="107">
        <f t="shared" si="3"/>
        <v>48.478200000000001</v>
      </c>
      <c r="AZ6" s="107">
        <f t="shared" si="3"/>
        <v>48.403199999999984</v>
      </c>
      <c r="BA6" s="107">
        <f t="shared" si="3"/>
        <v>48.352400000000003</v>
      </c>
      <c r="BB6" s="107">
        <f t="shared" si="3"/>
        <v>48.32999999999997</v>
      </c>
      <c r="BC6" s="107">
        <f t="shared" si="3"/>
        <v>48.340200000000024</v>
      </c>
      <c r="BD6" s="107">
        <f t="shared" si="3"/>
        <v>48.387199999999993</v>
      </c>
      <c r="BE6" s="107">
        <f t="shared" si="3"/>
        <v>48.475199999999958</v>
      </c>
      <c r="BF6" s="107">
        <f t="shared" si="3"/>
        <v>48.608399999999946</v>
      </c>
      <c r="BG6" s="107">
        <f t="shared" si="3"/>
        <v>48.790999999999983</v>
      </c>
      <c r="BH6" s="107">
        <f t="shared" si="3"/>
        <v>49.027200000000008</v>
      </c>
      <c r="BI6" s="107">
        <f t="shared" si="3"/>
        <v>49.32119999999999</v>
      </c>
    </row>
    <row r="7" spans="1:61" x14ac:dyDescent="0.35">
      <c r="A7" t="s">
        <v>203</v>
      </c>
      <c r="B7" s="88">
        <f t="shared" ref="B7:AA7" si="4">0.0003*(B2^3)-0.0471*(B2^2)+2.1122*(B2)-6.0816</f>
        <v>-4.0161999999999995</v>
      </c>
      <c r="C7" s="88">
        <f t="shared" si="4"/>
        <v>-2.0431999999999997</v>
      </c>
      <c r="D7" s="88">
        <f t="shared" si="4"/>
        <v>-0.16079999999999917</v>
      </c>
      <c r="E7" s="88">
        <f t="shared" si="4"/>
        <v>1.6328000000000005</v>
      </c>
      <c r="F7" s="88">
        <f t="shared" si="4"/>
        <v>3.3393999999999995</v>
      </c>
      <c r="G7" s="88">
        <f t="shared" si="4"/>
        <v>4.9608000000000008</v>
      </c>
      <c r="H7" s="88">
        <f t="shared" si="4"/>
        <v>6.498800000000001</v>
      </c>
      <c r="I7" s="88">
        <f t="shared" si="4"/>
        <v>7.9551999999999996</v>
      </c>
      <c r="J7" s="88">
        <f t="shared" si="4"/>
        <v>9.331800000000003</v>
      </c>
      <c r="K7" s="88">
        <f t="shared" si="4"/>
        <v>10.6304</v>
      </c>
      <c r="L7" s="88">
        <f t="shared" si="4"/>
        <v>11.8528</v>
      </c>
      <c r="M7" s="88">
        <f t="shared" si="4"/>
        <v>13.0008</v>
      </c>
      <c r="N7" s="88">
        <f t="shared" si="4"/>
        <v>14.076200000000002</v>
      </c>
      <c r="O7" s="88">
        <f t="shared" si="4"/>
        <v>15.080800000000002</v>
      </c>
      <c r="P7" s="88">
        <f t="shared" si="4"/>
        <v>16.016399999999997</v>
      </c>
      <c r="Q7" s="88">
        <f t="shared" si="4"/>
        <v>16.884799999999998</v>
      </c>
      <c r="R7" s="88">
        <f t="shared" si="4"/>
        <v>17.687800000000003</v>
      </c>
      <c r="S7" s="88">
        <f t="shared" si="4"/>
        <v>18.427199999999999</v>
      </c>
      <c r="T7" s="88">
        <f t="shared" si="4"/>
        <v>19.104799999999997</v>
      </c>
      <c r="U7" s="88">
        <f t="shared" si="4"/>
        <v>19.7224</v>
      </c>
      <c r="V7" s="88">
        <f t="shared" si="4"/>
        <v>20.281799999999997</v>
      </c>
      <c r="W7" s="88">
        <f t="shared" si="4"/>
        <v>20.784799999999997</v>
      </c>
      <c r="X7" s="88">
        <f t="shared" si="4"/>
        <v>21.233200000000004</v>
      </c>
      <c r="Y7" s="88">
        <f t="shared" si="4"/>
        <v>21.628799999999998</v>
      </c>
      <c r="Z7" s="88">
        <f t="shared" si="4"/>
        <v>21.973399999999998</v>
      </c>
      <c r="AA7" s="88">
        <f t="shared" si="4"/>
        <v>22.268799999999999</v>
      </c>
      <c r="AB7" s="88">
        <f>0.0003*(AB2^3)-0.0471*(AB2^2)+2.1122*(AB2)-6.0816</f>
        <v>22.516799999999996</v>
      </c>
      <c r="AC7" s="88">
        <f t="shared" ref="AC7:BI7" si="5">0.0003*(AC2^3)-0.0471*(AC2^2)+2.1122*(AC2)-6.0816</f>
        <v>22.719200000000001</v>
      </c>
      <c r="AD7" s="88">
        <f t="shared" si="5"/>
        <v>22.877800000000001</v>
      </c>
      <c r="AE7" s="88">
        <f t="shared" si="5"/>
        <v>22.994399999999999</v>
      </c>
      <c r="AF7" s="88">
        <f t="shared" si="5"/>
        <v>23.070799999999998</v>
      </c>
      <c r="AG7" s="88">
        <f t="shared" si="5"/>
        <v>23.108799999999995</v>
      </c>
      <c r="AH7" s="88">
        <f t="shared" si="5"/>
        <v>23.110199999999999</v>
      </c>
      <c r="AI7" s="88">
        <f t="shared" si="5"/>
        <v>23.076799999999999</v>
      </c>
      <c r="AJ7" s="88">
        <f t="shared" si="5"/>
        <v>23.010399999999997</v>
      </c>
      <c r="AK7" s="88">
        <f t="shared" si="5"/>
        <v>22.912800000000004</v>
      </c>
      <c r="AL7" s="88">
        <f t="shared" si="5"/>
        <v>22.785800000000002</v>
      </c>
      <c r="AM7" s="88">
        <f t="shared" si="5"/>
        <v>22.631199999999993</v>
      </c>
      <c r="AN7" s="88">
        <f t="shared" si="5"/>
        <v>22.450799999999994</v>
      </c>
      <c r="AO7" s="88">
        <f t="shared" si="5"/>
        <v>22.246400000000001</v>
      </c>
      <c r="AP7" s="88">
        <f t="shared" si="5"/>
        <v>22.019799999999996</v>
      </c>
      <c r="AQ7" s="88">
        <f t="shared" si="5"/>
        <v>21.772799999999997</v>
      </c>
      <c r="AR7" s="88">
        <f t="shared" si="5"/>
        <v>21.50719999999999</v>
      </c>
      <c r="AS7" s="88">
        <f t="shared" si="5"/>
        <v>21.224799999999995</v>
      </c>
      <c r="AT7" s="88">
        <f t="shared" si="5"/>
        <v>20.927399999999984</v>
      </c>
      <c r="AU7" s="88">
        <f t="shared" si="5"/>
        <v>20.616800000000005</v>
      </c>
      <c r="AV7" s="88">
        <f t="shared" si="5"/>
        <v>20.294800000000002</v>
      </c>
      <c r="AW7" s="88">
        <f t="shared" si="5"/>
        <v>19.963199999999993</v>
      </c>
      <c r="AX7" s="88">
        <f t="shared" si="5"/>
        <v>19.623799999999981</v>
      </c>
      <c r="AY7" s="88">
        <f t="shared" si="5"/>
        <v>19.278399999999984</v>
      </c>
      <c r="AZ7" s="88">
        <f t="shared" si="5"/>
        <v>18.928799999999988</v>
      </c>
      <c r="BA7" s="88">
        <f t="shared" si="5"/>
        <v>18.576799999999984</v>
      </c>
      <c r="BB7" s="88">
        <f t="shared" si="5"/>
        <v>18.224199999999989</v>
      </c>
      <c r="BC7" s="88">
        <f t="shared" si="5"/>
        <v>17.872799999999991</v>
      </c>
      <c r="BD7" s="88">
        <f t="shared" si="5"/>
        <v>17.524399999999979</v>
      </c>
      <c r="BE7" s="88">
        <f t="shared" si="5"/>
        <v>17.180799999999998</v>
      </c>
      <c r="BF7" s="88">
        <f t="shared" si="5"/>
        <v>16.84379999999998</v>
      </c>
      <c r="BG7" s="88">
        <f t="shared" si="5"/>
        <v>16.5152</v>
      </c>
      <c r="BH7" s="88">
        <f t="shared" si="5"/>
        <v>16.196799999999975</v>
      </c>
      <c r="BI7" s="88">
        <f t="shared" si="5"/>
        <v>15.890399999999994</v>
      </c>
    </row>
    <row r="8" spans="1:61" x14ac:dyDescent="0.35">
      <c r="B8" s="88"/>
    </row>
    <row r="9" spans="1:61" x14ac:dyDescent="0.35">
      <c r="B9" s="88"/>
    </row>
    <row r="10" spans="1:61" x14ac:dyDescent="0.35">
      <c r="B10" s="88"/>
    </row>
    <row r="11" spans="1:61" x14ac:dyDescent="0.35">
      <c r="B11" s="88"/>
    </row>
    <row r="12" spans="1:61" x14ac:dyDescent="0.35">
      <c r="B12" s="88"/>
    </row>
    <row r="13" spans="1:61" x14ac:dyDescent="0.35">
      <c r="B13" s="88"/>
    </row>
    <row r="14" spans="1:61" x14ac:dyDescent="0.35">
      <c r="B14" s="88"/>
    </row>
    <row r="15" spans="1:61" x14ac:dyDescent="0.35">
      <c r="B15" s="88"/>
    </row>
    <row r="16" spans="1:61" x14ac:dyDescent="0.35">
      <c r="B16" s="88"/>
    </row>
    <row r="17" spans="1:61" x14ac:dyDescent="0.35">
      <c r="B17" s="88"/>
    </row>
    <row r="18" spans="1:61" x14ac:dyDescent="0.35">
      <c r="B18" s="88"/>
    </row>
    <row r="19" spans="1:61" x14ac:dyDescent="0.35">
      <c r="B19" s="88"/>
    </row>
    <row r="20" spans="1:61" x14ac:dyDescent="0.35">
      <c r="B20" s="88"/>
    </row>
    <row r="21" spans="1:61" x14ac:dyDescent="0.35">
      <c r="B21" s="88"/>
    </row>
    <row r="22" spans="1:61" x14ac:dyDescent="0.35">
      <c r="B22" s="88"/>
    </row>
    <row r="23" spans="1:61" x14ac:dyDescent="0.35">
      <c r="B23" s="88"/>
    </row>
    <row r="24" spans="1:61" x14ac:dyDescent="0.35">
      <c r="B24" s="88"/>
    </row>
    <row r="25" spans="1:61" x14ac:dyDescent="0.35">
      <c r="B25" s="88"/>
    </row>
    <row r="26" spans="1:61" x14ac:dyDescent="0.35">
      <c r="B26" s="88"/>
    </row>
    <row r="27" spans="1:61" x14ac:dyDescent="0.35">
      <c r="B27" s="88"/>
    </row>
    <row r="28" spans="1:61" x14ac:dyDescent="0.35">
      <c r="B28" s="88"/>
    </row>
    <row r="29" spans="1:61" x14ac:dyDescent="0.35">
      <c r="B29" s="88"/>
    </row>
    <row r="30" spans="1:61" x14ac:dyDescent="0.35">
      <c r="B30" s="88"/>
    </row>
    <row r="31" spans="1:61" x14ac:dyDescent="0.35">
      <c r="B31" s="88"/>
    </row>
    <row r="32" spans="1:61" x14ac:dyDescent="0.35">
      <c r="A32" t="str">
        <f>'Management Input'!E10</f>
        <v>Good</v>
      </c>
      <c r="B32">
        <f>IF($A$32="Good",B4,IF($A$32="Average",B5,IF($A$32="Fair",B6,B7)))</f>
        <v>-12.269200000000001</v>
      </c>
      <c r="C32">
        <f>IF($A$32="Good",C4,IF($A$32="Average",C5,IF($A$32="Fair",C6,C7)))</f>
        <v>-2.6124000000000009</v>
      </c>
      <c r="D32">
        <f>IF($A$32="Good",D4,IF($A$32="Average",D5,IF($A$32="Fair",D6,D7)))</f>
        <v>6.6019999999999968</v>
      </c>
      <c r="E32">
        <f t="shared" ref="E32:BI32" si="6">IF($A$32="Good",E4,IF($A$32="Average",E5,IF($A$32="Fair",E6,E7)))</f>
        <v>15.383599999999994</v>
      </c>
      <c r="F32">
        <f t="shared" si="6"/>
        <v>23.741999999999997</v>
      </c>
      <c r="G32">
        <f t="shared" si="6"/>
        <v>31.686799999999991</v>
      </c>
      <c r="H32">
        <f t="shared" si="6"/>
        <v>39.227599999999995</v>
      </c>
      <c r="I32">
        <f t="shared" si="6"/>
        <v>46.373999999999995</v>
      </c>
      <c r="J32">
        <f t="shared" si="6"/>
        <v>53.135599999999982</v>
      </c>
      <c r="K32">
        <f t="shared" si="6"/>
        <v>59.521999999999991</v>
      </c>
      <c r="L32">
        <f t="shared" si="6"/>
        <v>65.542799999999986</v>
      </c>
      <c r="M32">
        <f t="shared" si="6"/>
        <v>71.207599999999985</v>
      </c>
      <c r="N32">
        <f t="shared" si="6"/>
        <v>76.525999999999968</v>
      </c>
      <c r="O32">
        <f t="shared" si="6"/>
        <v>81.507599999999996</v>
      </c>
      <c r="P32">
        <f t="shared" si="6"/>
        <v>86.161999999999992</v>
      </c>
      <c r="Q32">
        <f t="shared" si="6"/>
        <v>90.498799999999989</v>
      </c>
      <c r="R32">
        <f t="shared" si="6"/>
        <v>94.527599999999978</v>
      </c>
      <c r="S32">
        <f t="shared" si="6"/>
        <v>98.257999999999967</v>
      </c>
      <c r="T32">
        <f t="shared" si="6"/>
        <v>101.6996</v>
      </c>
      <c r="U32">
        <f t="shared" si="6"/>
        <v>104.86199999999998</v>
      </c>
      <c r="V32">
        <f t="shared" si="6"/>
        <v>107.75479999999997</v>
      </c>
      <c r="W32">
        <f t="shared" si="6"/>
        <v>110.38759999999998</v>
      </c>
      <c r="X32">
        <f t="shared" si="6"/>
        <v>112.76999999999997</v>
      </c>
      <c r="Y32">
        <f t="shared" si="6"/>
        <v>114.91159999999998</v>
      </c>
      <c r="Z32">
        <f t="shared" si="6"/>
        <v>116.82199999999999</v>
      </c>
      <c r="AA32">
        <f t="shared" si="6"/>
        <v>118.51079999999995</v>
      </c>
      <c r="AB32">
        <f t="shared" si="6"/>
        <v>119.98759999999997</v>
      </c>
      <c r="AC32">
        <f t="shared" si="6"/>
        <v>121.26199999999999</v>
      </c>
      <c r="AD32">
        <f t="shared" si="6"/>
        <v>122.34359999999997</v>
      </c>
      <c r="AE32">
        <f t="shared" si="6"/>
        <v>123.242</v>
      </c>
      <c r="AF32">
        <f t="shared" si="6"/>
        <v>123.96679999999996</v>
      </c>
      <c r="AG32">
        <f t="shared" si="6"/>
        <v>124.52759999999996</v>
      </c>
      <c r="AH32">
        <f t="shared" si="6"/>
        <v>124.93399999999998</v>
      </c>
      <c r="AI32">
        <f t="shared" si="6"/>
        <v>125.19559999999997</v>
      </c>
      <c r="AJ32">
        <f t="shared" si="6"/>
        <v>125.32199999999999</v>
      </c>
      <c r="AK32">
        <f t="shared" si="6"/>
        <v>125.32279999999996</v>
      </c>
      <c r="AL32">
        <f t="shared" si="6"/>
        <v>125.2076</v>
      </c>
      <c r="AM32">
        <f t="shared" si="6"/>
        <v>124.98600000000003</v>
      </c>
      <c r="AN32">
        <f t="shared" si="6"/>
        <v>124.66759999999998</v>
      </c>
      <c r="AO32">
        <f t="shared" si="6"/>
        <v>124.26199999999999</v>
      </c>
      <c r="AP32">
        <f t="shared" si="6"/>
        <v>123.77879999999992</v>
      </c>
      <c r="AQ32">
        <f t="shared" si="6"/>
        <v>123.22759999999992</v>
      </c>
      <c r="AR32">
        <f t="shared" si="6"/>
        <v>122.61799999999998</v>
      </c>
      <c r="AS32">
        <f t="shared" si="6"/>
        <v>121.95959999999995</v>
      </c>
      <c r="AT32">
        <f t="shared" si="6"/>
        <v>121.26199999999999</v>
      </c>
      <c r="AU32">
        <f t="shared" si="6"/>
        <v>120.5348</v>
      </c>
      <c r="AV32">
        <f t="shared" si="6"/>
        <v>119.78759999999998</v>
      </c>
      <c r="AW32">
        <f t="shared" si="6"/>
        <v>119.02999999999996</v>
      </c>
      <c r="AX32">
        <f t="shared" si="6"/>
        <v>118.27159999999996</v>
      </c>
      <c r="AY32">
        <f t="shared" si="6"/>
        <v>117.52199999999998</v>
      </c>
      <c r="AZ32">
        <f t="shared" si="6"/>
        <v>116.79079999999998</v>
      </c>
      <c r="BA32">
        <f t="shared" si="6"/>
        <v>116.08759999999988</v>
      </c>
      <c r="BB32">
        <f t="shared" si="6"/>
        <v>115.42199999999995</v>
      </c>
      <c r="BC32">
        <f t="shared" si="6"/>
        <v>114.8036</v>
      </c>
      <c r="BD32">
        <f t="shared" si="6"/>
        <v>114.24199999999995</v>
      </c>
      <c r="BE32">
        <f t="shared" si="6"/>
        <v>113.74679999999999</v>
      </c>
      <c r="BF32">
        <f t="shared" si="6"/>
        <v>113.3276</v>
      </c>
      <c r="BG32">
        <f t="shared" si="6"/>
        <v>112.99399999999996</v>
      </c>
      <c r="BH32">
        <f t="shared" si="6"/>
        <v>112.7556</v>
      </c>
      <c r="BI32">
        <f t="shared" si="6"/>
        <v>112.622</v>
      </c>
    </row>
    <row r="90" spans="1:71" x14ac:dyDescent="0.35">
      <c r="B90">
        <v>1</v>
      </c>
      <c r="C90">
        <v>2</v>
      </c>
      <c r="D90">
        <v>3</v>
      </c>
      <c r="E90">
        <v>4</v>
      </c>
      <c r="F90">
        <v>5</v>
      </c>
      <c r="G90">
        <v>6</v>
      </c>
      <c r="H90">
        <v>7</v>
      </c>
      <c r="I90">
        <v>8</v>
      </c>
      <c r="J90">
        <v>9</v>
      </c>
      <c r="K90">
        <v>10</v>
      </c>
      <c r="L90">
        <v>11</v>
      </c>
      <c r="M90">
        <v>12</v>
      </c>
      <c r="N90">
        <v>13</v>
      </c>
      <c r="O90">
        <v>14</v>
      </c>
      <c r="P90">
        <v>15</v>
      </c>
      <c r="Q90">
        <v>16</v>
      </c>
      <c r="R90">
        <v>17</v>
      </c>
      <c r="S90">
        <v>18</v>
      </c>
      <c r="T90">
        <v>19</v>
      </c>
      <c r="U90">
        <v>20</v>
      </c>
      <c r="V90">
        <v>21</v>
      </c>
      <c r="W90">
        <v>22</v>
      </c>
      <c r="X90">
        <v>23</v>
      </c>
      <c r="Y90">
        <v>24</v>
      </c>
      <c r="Z90">
        <v>25</v>
      </c>
      <c r="AA90">
        <v>26</v>
      </c>
      <c r="AB90">
        <v>27</v>
      </c>
      <c r="AC90">
        <v>28</v>
      </c>
      <c r="AD90">
        <v>29</v>
      </c>
      <c r="AE90">
        <v>30</v>
      </c>
      <c r="AF90">
        <v>31</v>
      </c>
      <c r="AG90">
        <v>32</v>
      </c>
      <c r="AH90">
        <v>33</v>
      </c>
      <c r="AI90">
        <v>34</v>
      </c>
      <c r="AJ90">
        <v>35</v>
      </c>
      <c r="AK90">
        <v>36</v>
      </c>
      <c r="AL90">
        <v>37</v>
      </c>
      <c r="AM90">
        <v>38</v>
      </c>
      <c r="AN90">
        <v>39</v>
      </c>
      <c r="AO90">
        <v>40</v>
      </c>
      <c r="AP90">
        <v>41</v>
      </c>
      <c r="AQ90">
        <v>42</v>
      </c>
      <c r="AR90">
        <v>43</v>
      </c>
      <c r="AS90">
        <v>44</v>
      </c>
      <c r="AT90">
        <v>45</v>
      </c>
      <c r="AU90">
        <v>46</v>
      </c>
      <c r="AV90">
        <v>47</v>
      </c>
      <c r="AW90">
        <v>48</v>
      </c>
      <c r="AX90">
        <v>49</v>
      </c>
      <c r="AY90">
        <v>50</v>
      </c>
      <c r="AZ90">
        <v>51</v>
      </c>
      <c r="BA90">
        <v>52</v>
      </c>
      <c r="BB90">
        <v>53</v>
      </c>
      <c r="BC90">
        <v>54</v>
      </c>
      <c r="BD90">
        <v>55</v>
      </c>
      <c r="BE90">
        <v>56</v>
      </c>
      <c r="BF90">
        <v>57</v>
      </c>
      <c r="BG90">
        <v>58</v>
      </c>
      <c r="BH90">
        <v>59</v>
      </c>
      <c r="BI90">
        <v>60</v>
      </c>
      <c r="BJ90">
        <v>61</v>
      </c>
      <c r="BK90">
        <v>62</v>
      </c>
      <c r="BL90">
        <v>63</v>
      </c>
      <c r="BM90">
        <v>64</v>
      </c>
      <c r="BN90">
        <v>65</v>
      </c>
      <c r="BO90">
        <v>66</v>
      </c>
      <c r="BP90">
        <v>67</v>
      </c>
      <c r="BQ90">
        <v>68</v>
      </c>
      <c r="BR90">
        <v>69</v>
      </c>
      <c r="BS90">
        <v>70</v>
      </c>
    </row>
    <row r="91" spans="1:71" x14ac:dyDescent="0.35">
      <c r="A91" t="s">
        <v>191</v>
      </c>
      <c r="B91">
        <v>0</v>
      </c>
      <c r="C91">
        <v>0</v>
      </c>
      <c r="D91">
        <v>7</v>
      </c>
      <c r="E91">
        <v>14</v>
      </c>
      <c r="F91">
        <v>21</v>
      </c>
      <c r="G91">
        <v>28</v>
      </c>
      <c r="H91">
        <v>35</v>
      </c>
      <c r="I91">
        <v>37</v>
      </c>
      <c r="J91">
        <v>44</v>
      </c>
      <c r="K91">
        <v>51</v>
      </c>
      <c r="L91">
        <v>58</v>
      </c>
      <c r="M91">
        <v>66</v>
      </c>
      <c r="N91">
        <v>73</v>
      </c>
      <c r="O91">
        <v>80</v>
      </c>
      <c r="P91">
        <v>87</v>
      </c>
      <c r="Q91">
        <v>94</v>
      </c>
      <c r="R91">
        <v>101</v>
      </c>
      <c r="S91">
        <v>108</v>
      </c>
      <c r="T91">
        <v>115</v>
      </c>
      <c r="U91">
        <v>120</v>
      </c>
      <c r="V91">
        <f t="shared" ref="U91:BS92" si="7">U91*1.001</f>
        <v>120.11999999999999</v>
      </c>
      <c r="W91">
        <f t="shared" si="7"/>
        <v>120.24011999999998</v>
      </c>
      <c r="X91">
        <f t="shared" si="7"/>
        <v>120.36036011999997</v>
      </c>
      <c r="Y91">
        <f t="shared" si="7"/>
        <v>120.48072048011996</v>
      </c>
      <c r="Z91">
        <f t="shared" si="7"/>
        <v>120.60120120060006</v>
      </c>
      <c r="AA91">
        <f t="shared" si="7"/>
        <v>120.72180240180064</v>
      </c>
      <c r="AB91">
        <f t="shared" si="7"/>
        <v>120.84252420420243</v>
      </c>
      <c r="AC91">
        <f t="shared" si="7"/>
        <v>120.96336672840663</v>
      </c>
      <c r="AD91">
        <f t="shared" si="7"/>
        <v>121.08433009513502</v>
      </c>
      <c r="AE91">
        <f t="shared" si="7"/>
        <v>121.20541442523013</v>
      </c>
      <c r="AF91">
        <f t="shared" si="7"/>
        <v>121.32661983965535</v>
      </c>
      <c r="AG91">
        <f t="shared" si="7"/>
        <v>121.44794645949499</v>
      </c>
      <c r="AH91">
        <f t="shared" si="7"/>
        <v>121.56939440595447</v>
      </c>
      <c r="AI91">
        <f t="shared" si="7"/>
        <v>121.69096380036041</v>
      </c>
      <c r="AJ91">
        <f t="shared" si="7"/>
        <v>121.81265476416075</v>
      </c>
      <c r="AK91">
        <f t="shared" si="7"/>
        <v>121.9344674189249</v>
      </c>
      <c r="AL91">
        <f t="shared" si="7"/>
        <v>122.05640188634381</v>
      </c>
      <c r="AM91">
        <f t="shared" si="7"/>
        <v>122.17845828823013</v>
      </c>
      <c r="AN91">
        <f t="shared" si="7"/>
        <v>122.30063674651835</v>
      </c>
      <c r="AO91">
        <f t="shared" si="7"/>
        <v>122.42293738326485</v>
      </c>
      <c r="AP91">
        <f t="shared" si="7"/>
        <v>122.5453603206481</v>
      </c>
      <c r="AQ91">
        <f t="shared" si="7"/>
        <v>122.66790568096873</v>
      </c>
      <c r="AR91">
        <f t="shared" si="7"/>
        <v>122.79057358664969</v>
      </c>
      <c r="AS91">
        <f t="shared" si="7"/>
        <v>122.91336416023633</v>
      </c>
      <c r="AT91">
        <f t="shared" si="7"/>
        <v>123.03627752439655</v>
      </c>
      <c r="AU91">
        <f t="shared" si="7"/>
        <v>123.15931380192093</v>
      </c>
      <c r="AV91">
        <f t="shared" si="7"/>
        <v>123.28247311572284</v>
      </c>
      <c r="AW91">
        <f t="shared" si="7"/>
        <v>123.40575558883855</v>
      </c>
      <c r="AX91">
        <f t="shared" si="7"/>
        <v>123.52916134442737</v>
      </c>
      <c r="AY91">
        <f t="shared" si="7"/>
        <v>123.65269050577177</v>
      </c>
      <c r="AZ91">
        <f t="shared" si="7"/>
        <v>123.77634319627754</v>
      </c>
      <c r="BA91">
        <f t="shared" si="7"/>
        <v>123.90011953947381</v>
      </c>
      <c r="BB91">
        <f t="shared" si="7"/>
        <v>124.02401965901326</v>
      </c>
      <c r="BC91">
        <f t="shared" si="7"/>
        <v>124.14804367867227</v>
      </c>
      <c r="BD91">
        <f t="shared" si="7"/>
        <v>124.27219172235093</v>
      </c>
      <c r="BE91">
        <f t="shared" si="7"/>
        <v>124.39646391407327</v>
      </c>
      <c r="BF91">
        <f t="shared" si="7"/>
        <v>124.52086037798732</v>
      </c>
      <c r="BG91">
        <f t="shared" si="7"/>
        <v>124.64538123836529</v>
      </c>
      <c r="BH91">
        <f t="shared" si="7"/>
        <v>124.77002661960364</v>
      </c>
      <c r="BI91">
        <f t="shared" si="7"/>
        <v>124.89479664622323</v>
      </c>
      <c r="BJ91">
        <f t="shared" si="7"/>
        <v>125.01969144286943</v>
      </c>
      <c r="BK91">
        <f t="shared" si="7"/>
        <v>125.14471113431229</v>
      </c>
      <c r="BL91">
        <f t="shared" si="7"/>
        <v>125.26985584544659</v>
      </c>
      <c r="BM91">
        <f t="shared" si="7"/>
        <v>125.39512570129202</v>
      </c>
      <c r="BN91">
        <f t="shared" si="7"/>
        <v>125.52052082699329</v>
      </c>
      <c r="BO91">
        <f t="shared" si="7"/>
        <v>125.64604134782027</v>
      </c>
      <c r="BP91">
        <f t="shared" si="7"/>
        <v>125.77168738916808</v>
      </c>
      <c r="BQ91">
        <f t="shared" si="7"/>
        <v>125.89745907655724</v>
      </c>
      <c r="BR91">
        <f t="shared" si="7"/>
        <v>126.02335653563378</v>
      </c>
      <c r="BS91">
        <f t="shared" si="7"/>
        <v>126.14937989216941</v>
      </c>
    </row>
    <row r="92" spans="1:71" x14ac:dyDescent="0.35">
      <c r="A92" t="s">
        <v>192</v>
      </c>
      <c r="B92">
        <v>0</v>
      </c>
      <c r="C92">
        <v>0</v>
      </c>
      <c r="D92">
        <v>5</v>
      </c>
      <c r="E92">
        <v>10</v>
      </c>
      <c r="F92">
        <v>15</v>
      </c>
      <c r="G92">
        <v>20</v>
      </c>
      <c r="H92">
        <v>25</v>
      </c>
      <c r="I92">
        <v>30</v>
      </c>
      <c r="J92">
        <v>35</v>
      </c>
      <c r="K92">
        <v>40</v>
      </c>
      <c r="L92">
        <v>45</v>
      </c>
      <c r="M92">
        <v>50</v>
      </c>
      <c r="N92">
        <v>55</v>
      </c>
      <c r="O92">
        <v>60</v>
      </c>
      <c r="P92">
        <v>65</v>
      </c>
      <c r="Q92">
        <v>70</v>
      </c>
      <c r="R92">
        <v>75</v>
      </c>
      <c r="S92">
        <v>80</v>
      </c>
      <c r="T92">
        <v>85</v>
      </c>
      <c r="U92">
        <f t="shared" si="7"/>
        <v>85.084999999999994</v>
      </c>
      <c r="V92">
        <f t="shared" si="7"/>
        <v>85.170084999999986</v>
      </c>
      <c r="W92">
        <f t="shared" ref="W92" si="8">V92*1.001</f>
        <v>85.255255084999973</v>
      </c>
      <c r="X92">
        <f t="shared" ref="X92" si="9">W92*1.001</f>
        <v>85.340510340084961</v>
      </c>
      <c r="Y92">
        <f t="shared" ref="Y92" si="10">X92*1.001</f>
        <v>85.425850850425036</v>
      </c>
      <c r="Z92">
        <f t="shared" ref="Z92" si="11">Y92*1.001</f>
        <v>85.511276701275449</v>
      </c>
      <c r="AA92">
        <f t="shared" ref="AA92" si="12">Z92*1.001</f>
        <v>85.596787977976717</v>
      </c>
      <c r="AB92">
        <f t="shared" ref="AB92" si="13">AA92*1.001</f>
        <v>85.68238476595468</v>
      </c>
      <c r="AC92">
        <f t="shared" ref="AC92" si="14">AB92*1.001</f>
        <v>85.768067150720626</v>
      </c>
      <c r="AD92">
        <f t="shared" ref="AD92" si="15">AC92*1.001</f>
        <v>85.853835217871335</v>
      </c>
      <c r="AE92">
        <f t="shared" ref="AE92" si="16">AD92*1.001</f>
        <v>85.939689053089197</v>
      </c>
      <c r="AF92">
        <f t="shared" ref="AF92" si="17">AE92*1.001</f>
        <v>86.025628742142274</v>
      </c>
      <c r="AG92">
        <f t="shared" ref="AG92" si="18">AF92*1.001</f>
        <v>86.111654370884409</v>
      </c>
      <c r="AH92">
        <f t="shared" ref="AH92" si="19">AG92*1.001</f>
        <v>86.197766025255291</v>
      </c>
      <c r="AI92">
        <f t="shared" ref="AI92" si="20">AH92*1.001</f>
        <v>86.283963791280541</v>
      </c>
      <c r="AJ92">
        <f t="shared" ref="AJ92" si="21">AI92*1.001</f>
        <v>86.370247755071816</v>
      </c>
      <c r="AK92">
        <f t="shared" ref="AK92" si="22">AJ92*1.001</f>
        <v>86.456618002826872</v>
      </c>
      <c r="AL92">
        <f t="shared" ref="AL92" si="23">AK92*1.001</f>
        <v>86.543074620829685</v>
      </c>
      <c r="AM92">
        <f t="shared" ref="AM92" si="24">AL92*1.001</f>
        <v>86.629617695450506</v>
      </c>
      <c r="AN92">
        <f t="shared" ref="AN92" si="25">AM92*1.001</f>
        <v>86.716247313145942</v>
      </c>
      <c r="AO92">
        <f t="shared" ref="AO92" si="26">AN92*1.001</f>
        <v>86.802963560459077</v>
      </c>
      <c r="AP92">
        <f t="shared" ref="AP92" si="27">AO92*1.001</f>
        <v>86.889766524019521</v>
      </c>
      <c r="AQ92">
        <f t="shared" ref="AQ92" si="28">AP92*1.001</f>
        <v>86.976656290543531</v>
      </c>
      <c r="AR92">
        <f t="shared" ref="AR92" si="29">AQ92*1.001</f>
        <v>87.063632946834062</v>
      </c>
      <c r="AS92">
        <f t="shared" ref="AS92" si="30">AR92*1.001</f>
        <v>87.150696579780885</v>
      </c>
      <c r="AT92">
        <f t="shared" ref="AT92" si="31">AS92*1.001</f>
        <v>87.237847276360654</v>
      </c>
      <c r="AU92">
        <f t="shared" ref="AU92" si="32">AT92*1.001</f>
        <v>87.32508512363701</v>
      </c>
      <c r="AV92">
        <f t="shared" ref="AV92" si="33">AU92*1.001</f>
        <v>87.412410208760633</v>
      </c>
      <c r="AW92">
        <f t="shared" ref="AW92" si="34">AV92*1.001</f>
        <v>87.49982261896939</v>
      </c>
      <c r="AX92">
        <f t="shared" ref="AX92" si="35">AW92*1.001</f>
        <v>87.587322441588356</v>
      </c>
      <c r="AY92">
        <f t="shared" ref="AY92" si="36">AX92*1.001</f>
        <v>87.674909764029934</v>
      </c>
      <c r="AZ92">
        <f t="shared" ref="AZ92" si="37">AY92*1.001</f>
        <v>87.762584673793953</v>
      </c>
      <c r="BA92">
        <f t="shared" ref="BA92" si="38">AZ92*1.001</f>
        <v>87.850347258467735</v>
      </c>
      <c r="BB92">
        <f t="shared" ref="BB92" si="39">BA92*1.001</f>
        <v>87.938197605726188</v>
      </c>
      <c r="BC92">
        <f t="shared" ref="BC92" si="40">BB92*1.001</f>
        <v>88.026135803331911</v>
      </c>
      <c r="BD92">
        <f t="shared" ref="BD92" si="41">BC92*1.001</f>
        <v>88.114161939135229</v>
      </c>
      <c r="BE92">
        <f t="shared" ref="BE92" si="42">BD92*1.001</f>
        <v>88.202276101074361</v>
      </c>
      <c r="BF92">
        <f t="shared" ref="BF92" si="43">BE92*1.001</f>
        <v>88.290478377175432</v>
      </c>
      <c r="BG92">
        <f t="shared" ref="BG92" si="44">BF92*1.001</f>
        <v>88.378768855552593</v>
      </c>
      <c r="BH92">
        <f t="shared" ref="BH92" si="45">BG92*1.001</f>
        <v>88.467147624408142</v>
      </c>
      <c r="BI92">
        <f t="shared" ref="BI92" si="46">BH92*1.001</f>
        <v>88.555614772032541</v>
      </c>
      <c r="BJ92">
        <f t="shared" ref="BJ92" si="47">BI92*1.001</f>
        <v>88.644170386804561</v>
      </c>
      <c r="BK92">
        <f t="shared" ref="BK92" si="48">BJ92*1.001</f>
        <v>88.732814557191361</v>
      </c>
      <c r="BL92">
        <f t="shared" ref="BL92" si="49">BK92*1.001</f>
        <v>88.821547371748537</v>
      </c>
      <c r="BM92">
        <f t="shared" ref="BM92" si="50">BL92*1.001</f>
        <v>88.910368919120273</v>
      </c>
      <c r="BN92">
        <f t="shared" ref="BN92" si="51">BM92*1.001</f>
        <v>88.999279288039389</v>
      </c>
      <c r="BO92">
        <f t="shared" ref="BO92" si="52">BN92*1.001</f>
        <v>89.088278567327421</v>
      </c>
      <c r="BP92">
        <f t="shared" ref="BP92" si="53">BO92*1.001</f>
        <v>89.177366845894738</v>
      </c>
      <c r="BQ92">
        <f t="shared" ref="BQ92" si="54">BP92*1.001</f>
        <v>89.266544212740627</v>
      </c>
      <c r="BR92">
        <f t="shared" ref="BR92" si="55">BQ92*1.001</f>
        <v>89.35581075695336</v>
      </c>
      <c r="BS92">
        <f t="shared" ref="BS92" si="56">BR92*1.001</f>
        <v>89.445166567710302</v>
      </c>
    </row>
    <row r="93" spans="1:71" x14ac:dyDescent="0.35">
      <c r="A93" t="s">
        <v>193</v>
      </c>
      <c r="B93">
        <v>0</v>
      </c>
      <c r="C93">
        <v>0</v>
      </c>
      <c r="D93">
        <v>0</v>
      </c>
      <c r="E93">
        <v>3</v>
      </c>
      <c r="F93">
        <v>6</v>
      </c>
      <c r="G93">
        <v>9</v>
      </c>
      <c r="H93">
        <v>12</v>
      </c>
      <c r="I93">
        <v>15</v>
      </c>
      <c r="J93">
        <v>18</v>
      </c>
      <c r="K93">
        <v>21</v>
      </c>
      <c r="L93">
        <v>24</v>
      </c>
      <c r="M93">
        <v>27</v>
      </c>
      <c r="N93">
        <v>30</v>
      </c>
      <c r="O93">
        <v>33</v>
      </c>
      <c r="P93">
        <v>36</v>
      </c>
      <c r="Q93">
        <v>39</v>
      </c>
      <c r="R93">
        <v>40</v>
      </c>
      <c r="S93">
        <v>43</v>
      </c>
      <c r="T93">
        <v>44</v>
      </c>
      <c r="U93">
        <v>46</v>
      </c>
      <c r="V93">
        <f t="shared" ref="V93:V94" si="57">U93*1.001</f>
        <v>46.045999999999992</v>
      </c>
      <c r="W93">
        <f t="shared" ref="W93:W94" si="58">V93*1.001</f>
        <v>46.092045999999989</v>
      </c>
      <c r="X93">
        <f t="shared" ref="X93:X94" si="59">W93*1.001</f>
        <v>46.138138045999987</v>
      </c>
      <c r="Y93">
        <f t="shared" ref="Y93:Y94" si="60">X93*1.001</f>
        <v>46.184276184045984</v>
      </c>
      <c r="Z93">
        <f t="shared" ref="Z93:Z94" si="61">Y93*1.001</f>
        <v>46.230460460230027</v>
      </c>
      <c r="AA93">
        <f t="shared" ref="AA93:AA94" si="62">Z93*1.001</f>
        <v>46.27669092069025</v>
      </c>
      <c r="AB93">
        <f t="shared" ref="AB93:AB94" si="63">AA93*1.001</f>
        <v>46.322967611610935</v>
      </c>
      <c r="AC93">
        <f t="shared" ref="AC93:AC94" si="64">AB93*1.001</f>
        <v>46.369290579222543</v>
      </c>
      <c r="AD93">
        <f t="shared" ref="AD93:AD94" si="65">AC93*1.001</f>
        <v>46.415659869801758</v>
      </c>
      <c r="AE93">
        <f t="shared" ref="AE93:AE94" si="66">AD93*1.001</f>
        <v>46.462075529671552</v>
      </c>
      <c r="AF93">
        <f t="shared" ref="AF93:AF94" si="67">AE93*1.001</f>
        <v>46.508537605201219</v>
      </c>
      <c r="AG93">
        <f t="shared" ref="AG93:AG94" si="68">AF93*1.001</f>
        <v>46.555046142806418</v>
      </c>
      <c r="AH93">
        <f t="shared" ref="AH93:AH94" si="69">AG93*1.001</f>
        <v>46.601601188949218</v>
      </c>
      <c r="AI93">
        <f t="shared" ref="AI93:AI94" si="70">AH93*1.001</f>
        <v>46.648202790138164</v>
      </c>
      <c r="AJ93">
        <f t="shared" ref="AJ93:AJ94" si="71">AI93*1.001</f>
        <v>46.694850992928295</v>
      </c>
      <c r="AK93">
        <f t="shared" ref="AK93:AK94" si="72">AJ93*1.001</f>
        <v>46.741545843921216</v>
      </c>
      <c r="AL93">
        <f t="shared" ref="AL93:AL94" si="73">AK93*1.001</f>
        <v>46.788287389765131</v>
      </c>
      <c r="AM93">
        <f t="shared" ref="AM93:AM94" si="74">AL93*1.001</f>
        <v>46.83507567715489</v>
      </c>
      <c r="AN93">
        <f t="shared" ref="AN93:AN94" si="75">AM93*1.001</f>
        <v>46.881910752832042</v>
      </c>
      <c r="AO93">
        <f t="shared" ref="AO93:AO94" si="76">AN93*1.001</f>
        <v>46.928792663584865</v>
      </c>
      <c r="AP93">
        <f t="shared" ref="AP93:AP94" si="77">AO93*1.001</f>
        <v>46.975721456248444</v>
      </c>
      <c r="AQ93">
        <f t="shared" ref="AQ93:AQ94" si="78">AP93*1.001</f>
        <v>47.022697177704686</v>
      </c>
      <c r="AR93">
        <f t="shared" ref="AR93:AR94" si="79">AQ93*1.001</f>
        <v>47.069719874882388</v>
      </c>
      <c r="AS93">
        <f t="shared" ref="AS93:AS94" si="80">AR93*1.001</f>
        <v>47.116789594757265</v>
      </c>
      <c r="AT93">
        <f t="shared" ref="AT93:AT94" si="81">AS93*1.001</f>
        <v>47.163906384352018</v>
      </c>
      <c r="AU93">
        <f t="shared" ref="AU93:AU94" si="82">AT93*1.001</f>
        <v>47.211070290736366</v>
      </c>
      <c r="AV93">
        <f t="shared" ref="AV93:AV94" si="83">AU93*1.001</f>
        <v>47.258281361027095</v>
      </c>
      <c r="AW93">
        <f t="shared" ref="AW93:AW94" si="84">AV93*1.001</f>
        <v>47.305539642388119</v>
      </c>
      <c r="AX93">
        <f t="shared" ref="AX93:AX94" si="85">AW93*1.001</f>
        <v>47.352845182030499</v>
      </c>
      <c r="AY93">
        <f t="shared" ref="AY93:AY94" si="86">AX93*1.001</f>
        <v>47.400198027212525</v>
      </c>
      <c r="AZ93">
        <f t="shared" ref="AZ93:AZ94" si="87">AY93*1.001</f>
        <v>47.44759822523973</v>
      </c>
      <c r="BA93">
        <f t="shared" ref="BA93:BA94" si="88">AZ93*1.001</f>
        <v>47.495045823464963</v>
      </c>
      <c r="BB93">
        <f t="shared" ref="BB93:BB94" si="89">BA93*1.001</f>
        <v>47.542540869288423</v>
      </c>
      <c r="BC93">
        <f t="shared" ref="BC93:BC94" si="90">BB93*1.001</f>
        <v>47.590083410157703</v>
      </c>
      <c r="BD93">
        <f t="shared" ref="BD93:BD94" si="91">BC93*1.001</f>
        <v>47.637673493567853</v>
      </c>
      <c r="BE93">
        <f t="shared" ref="BE93:BE94" si="92">BD93*1.001</f>
        <v>47.685311167061414</v>
      </c>
      <c r="BF93">
        <f t="shared" ref="BF93:BF94" si="93">BE93*1.001</f>
        <v>47.732996478228472</v>
      </c>
      <c r="BG93">
        <f t="shared" ref="BG93:BG94" si="94">BF93*1.001</f>
        <v>47.780729474706696</v>
      </c>
      <c r="BH93">
        <f t="shared" ref="BH93:BH94" si="95">BG93*1.001</f>
        <v>47.828510204181399</v>
      </c>
      <c r="BI93">
        <f t="shared" ref="BI93:BI94" si="96">BH93*1.001</f>
        <v>47.876338714385575</v>
      </c>
      <c r="BJ93">
        <f t="shared" ref="BJ93:BJ94" si="97">BI93*1.001</f>
        <v>47.924215053099957</v>
      </c>
      <c r="BK93">
        <f t="shared" ref="BK93:BK94" si="98">BJ93*1.001</f>
        <v>47.97213926815305</v>
      </c>
      <c r="BL93">
        <f t="shared" ref="BL93:BL94" si="99">BK93*1.001</f>
        <v>48.020111407421197</v>
      </c>
      <c r="BM93">
        <f t="shared" ref="BM93:BM94" si="100">BL93*1.001</f>
        <v>48.068131518828615</v>
      </c>
      <c r="BN93">
        <f t="shared" ref="BN93:BN94" si="101">BM93*1.001</f>
        <v>48.11619965034744</v>
      </c>
      <c r="BO93">
        <f t="shared" ref="BO93:BO94" si="102">BN93*1.001</f>
        <v>48.164315849997784</v>
      </c>
      <c r="BP93">
        <f t="shared" ref="BP93:BP94" si="103">BO93*1.001</f>
        <v>48.212480165847779</v>
      </c>
      <c r="BQ93">
        <f t="shared" ref="BQ93:BQ94" si="104">BP93*1.001</f>
        <v>48.260692646013624</v>
      </c>
      <c r="BR93">
        <f t="shared" ref="BR93:BR94" si="105">BQ93*1.001</f>
        <v>48.308953338659634</v>
      </c>
      <c r="BS93">
        <f t="shared" ref="BS93:BS94" si="106">BR93*1.001</f>
        <v>48.357262291998289</v>
      </c>
    </row>
    <row r="94" spans="1:71" x14ac:dyDescent="0.35">
      <c r="A94" t="s">
        <v>194</v>
      </c>
      <c r="B94">
        <v>0</v>
      </c>
      <c r="C94">
        <v>0</v>
      </c>
      <c r="D94">
        <v>0</v>
      </c>
      <c r="E94">
        <v>0</v>
      </c>
      <c r="F94">
        <v>1.5</v>
      </c>
      <c r="G94">
        <v>3</v>
      </c>
      <c r="H94">
        <v>4.5</v>
      </c>
      <c r="I94">
        <v>6</v>
      </c>
      <c r="J94">
        <v>7.5</v>
      </c>
      <c r="K94">
        <v>9</v>
      </c>
      <c r="L94">
        <v>10.5</v>
      </c>
      <c r="M94">
        <v>12</v>
      </c>
      <c r="N94">
        <v>13.5</v>
      </c>
      <c r="O94">
        <v>15</v>
      </c>
      <c r="P94">
        <v>16.5</v>
      </c>
      <c r="Q94">
        <v>18</v>
      </c>
      <c r="R94">
        <v>19.5</v>
      </c>
      <c r="S94">
        <v>21</v>
      </c>
      <c r="T94">
        <v>22.5</v>
      </c>
      <c r="U94">
        <v>23</v>
      </c>
      <c r="V94">
        <f t="shared" si="57"/>
        <v>23.022999999999996</v>
      </c>
      <c r="W94">
        <f t="shared" si="58"/>
        <v>23.046022999999995</v>
      </c>
      <c r="X94">
        <f t="shared" si="59"/>
        <v>23.069069022999994</v>
      </c>
      <c r="Y94">
        <f t="shared" si="60"/>
        <v>23.092138092022992</v>
      </c>
      <c r="Z94">
        <f t="shared" si="61"/>
        <v>23.115230230115014</v>
      </c>
      <c r="AA94">
        <f t="shared" si="62"/>
        <v>23.138345460345125</v>
      </c>
      <c r="AB94">
        <f t="shared" si="63"/>
        <v>23.161483805805467</v>
      </c>
      <c r="AC94">
        <f t="shared" si="64"/>
        <v>23.184645289611272</v>
      </c>
      <c r="AD94">
        <f t="shared" si="65"/>
        <v>23.207829934900879</v>
      </c>
      <c r="AE94">
        <f t="shared" si="66"/>
        <v>23.231037764835776</v>
      </c>
      <c r="AF94">
        <f t="shared" si="67"/>
        <v>23.25426880260061</v>
      </c>
      <c r="AG94">
        <f t="shared" si="68"/>
        <v>23.277523071403209</v>
      </c>
      <c r="AH94">
        <f t="shared" si="69"/>
        <v>23.300800594474609</v>
      </c>
      <c r="AI94">
        <f t="shared" si="70"/>
        <v>23.324101395069082</v>
      </c>
      <c r="AJ94">
        <f t="shared" si="71"/>
        <v>23.347425496464147</v>
      </c>
      <c r="AK94">
        <f t="shared" si="72"/>
        <v>23.370772921960608</v>
      </c>
      <c r="AL94">
        <f t="shared" si="73"/>
        <v>23.394143694882565</v>
      </c>
      <c r="AM94">
        <f t="shared" si="74"/>
        <v>23.417537838577445</v>
      </c>
      <c r="AN94">
        <f t="shared" si="75"/>
        <v>23.440955376416021</v>
      </c>
      <c r="AO94">
        <f t="shared" si="76"/>
        <v>23.464396331792432</v>
      </c>
      <c r="AP94">
        <f t="shared" si="77"/>
        <v>23.487860728124222</v>
      </c>
      <c r="AQ94">
        <f t="shared" si="78"/>
        <v>23.511348588852343</v>
      </c>
      <c r="AR94">
        <f t="shared" si="79"/>
        <v>23.534859937441194</v>
      </c>
      <c r="AS94">
        <f t="shared" si="80"/>
        <v>23.558394797378632</v>
      </c>
      <c r="AT94">
        <f t="shared" si="81"/>
        <v>23.581953192176009</v>
      </c>
      <c r="AU94">
        <f t="shared" si="82"/>
        <v>23.605535145368183</v>
      </c>
      <c r="AV94">
        <f t="shared" si="83"/>
        <v>23.629140680513547</v>
      </c>
      <c r="AW94">
        <f t="shared" si="84"/>
        <v>23.65276982119406</v>
      </c>
      <c r="AX94">
        <f t="shared" si="85"/>
        <v>23.67642259101525</v>
      </c>
      <c r="AY94">
        <f t="shared" si="86"/>
        <v>23.700099013606263</v>
      </c>
      <c r="AZ94">
        <f t="shared" si="87"/>
        <v>23.723799112619865</v>
      </c>
      <c r="BA94">
        <f t="shared" si="88"/>
        <v>23.747522911732482</v>
      </c>
      <c r="BB94">
        <f t="shared" si="89"/>
        <v>23.771270434644212</v>
      </c>
      <c r="BC94">
        <f t="shared" si="90"/>
        <v>23.795041705078852</v>
      </c>
      <c r="BD94">
        <f t="shared" si="91"/>
        <v>23.818836746783926</v>
      </c>
      <c r="BE94">
        <f t="shared" si="92"/>
        <v>23.842655583530707</v>
      </c>
      <c r="BF94">
        <f t="shared" si="93"/>
        <v>23.866498239114236</v>
      </c>
      <c r="BG94">
        <f t="shared" si="94"/>
        <v>23.890364737353348</v>
      </c>
      <c r="BH94">
        <f t="shared" si="95"/>
        <v>23.914255102090699</v>
      </c>
      <c r="BI94">
        <f t="shared" si="96"/>
        <v>23.938169357192788</v>
      </c>
      <c r="BJ94">
        <f t="shared" si="97"/>
        <v>23.962107526549978</v>
      </c>
      <c r="BK94">
        <f t="shared" si="98"/>
        <v>23.986069634076525</v>
      </c>
      <c r="BL94">
        <f t="shared" si="99"/>
        <v>24.010055703710599</v>
      </c>
      <c r="BM94">
        <f t="shared" si="100"/>
        <v>24.034065759414307</v>
      </c>
      <c r="BN94">
        <f t="shared" si="101"/>
        <v>24.05809982517372</v>
      </c>
      <c r="BO94">
        <f t="shared" si="102"/>
        <v>24.082157924998892</v>
      </c>
      <c r="BP94">
        <f t="shared" si="103"/>
        <v>24.10624008292389</v>
      </c>
      <c r="BQ94">
        <f t="shared" si="104"/>
        <v>24.130346323006812</v>
      </c>
      <c r="BR94">
        <f t="shared" si="105"/>
        <v>24.154476669329817</v>
      </c>
      <c r="BS94">
        <f t="shared" si="106"/>
        <v>24.178631145999145</v>
      </c>
    </row>
  </sheetData>
  <sheetProtection sheet="1" objects="1" scenarios="1"/>
  <pageMargins left="0.7" right="0.7" top="0.75" bottom="0.75" header="0.3" footer="0.3"/>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D9AF034F0B670B4891A61F46F0FD4463" ma:contentTypeVersion="13" ma:contentTypeDescription="Ein neues Dokument erstellen." ma:contentTypeScope="" ma:versionID="702f8338609bb484bdb0ddb8e045398d">
  <xsd:schema xmlns:xsd="http://www.w3.org/2001/XMLSchema" xmlns:xs="http://www.w3.org/2001/XMLSchema" xmlns:p="http://schemas.microsoft.com/office/2006/metadata/properties" xmlns:ns2="75a7cc16-a325-42f6-a633-b9d335f46d66" xmlns:ns3="19ceceb8-c9f0-4d85-b02f-4af4389ce7fe" targetNamespace="http://schemas.microsoft.com/office/2006/metadata/properties" ma:root="true" ma:fieldsID="007b09dd0f1b65eae87cbf249639ae35" ns2:_="" ns3:_="">
    <xsd:import namespace="75a7cc16-a325-42f6-a633-b9d335f46d66"/>
    <xsd:import namespace="19ceceb8-c9f0-4d85-b02f-4af4389ce7fe"/>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element ref="ns2:MediaServiceDateTaken" minOccurs="0"/>
                <xsd:element ref="ns2:Thema"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a7cc16-a325-42f6-a633-b9d335f46d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ildmarkierungen" ma:readOnly="false" ma:fieldId="{5cf76f15-5ced-4ddc-b409-7134ff3c332f}" ma:taxonomyMulti="true" ma:sspId="6eb20c4f-c5c2-492b-9954-d638c64bfe9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Thema" ma:index="19" nillable="true" ma:displayName="Thema" ma:format="Dropdown" ma:internalName="Thema">
      <xsd:simpleType>
        <xsd:restriction base="dms:Text">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ceceb8-c9f0-4d85-b02f-4af4389ce7fe"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f2df28fa-761b-4926-8c79-193c28f00df0}" ma:internalName="TaxCatchAll" ma:showField="CatchAllData" ma:web="19ceceb8-c9f0-4d85-b02f-4af4389ce7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hema xmlns="75a7cc16-a325-42f6-a633-b9d335f46d66" xsi:nil="true"/>
    <TaxCatchAll xmlns="19ceceb8-c9f0-4d85-b02f-4af4389ce7fe" xsi:nil="true"/>
    <lcf76f155ced4ddcb4097134ff3c332f xmlns="75a7cc16-a325-42f6-a633-b9d335f46d6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B880469-1A78-4AF3-AB3E-C58DB24FDFC3}"/>
</file>

<file path=customXml/itemProps2.xml><?xml version="1.0" encoding="utf-8"?>
<ds:datastoreItem xmlns:ds="http://schemas.openxmlformats.org/officeDocument/2006/customXml" ds:itemID="{486E0534-BA42-4557-9A6C-581BA9DC504F}"/>
</file>

<file path=customXml/itemProps3.xml><?xml version="1.0" encoding="utf-8"?>
<ds:datastoreItem xmlns:ds="http://schemas.openxmlformats.org/officeDocument/2006/customXml" ds:itemID="{32AEE5EE-86E8-4D46-A221-C89045CC7DF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26</vt:i4>
      </vt:variant>
    </vt:vector>
  </HeadingPairs>
  <TitlesOfParts>
    <vt:vector size="33" baseType="lpstr">
      <vt:lpstr>Management Input</vt:lpstr>
      <vt:lpstr>Cost Budgets</vt:lpstr>
      <vt:lpstr>Financial Analysis</vt:lpstr>
      <vt:lpstr>Input Tables</vt:lpstr>
      <vt:lpstr>Recommendations</vt:lpstr>
      <vt:lpstr>Chemical costs</vt:lpstr>
      <vt:lpstr>Growth models</vt:lpstr>
      <vt:lpstr>Calculations</vt:lpstr>
      <vt:lpstr>DeerC</vt:lpstr>
      <vt:lpstr>Design</vt:lpstr>
      <vt:lpstr>Disease</vt:lpstr>
      <vt:lpstr>DiseaseC</vt:lpstr>
      <vt:lpstr>Establish</vt:lpstr>
      <vt:lpstr>Fert</vt:lpstr>
      <vt:lpstr>fertrec</vt:lpstr>
      <vt:lpstr>Graft</vt:lpstr>
      <vt:lpstr>Harvest</vt:lpstr>
      <vt:lpstr>Irrigate</vt:lpstr>
      <vt:lpstr>Layout</vt:lpstr>
      <vt:lpstr>ManFert</vt:lpstr>
      <vt:lpstr>Pest</vt:lpstr>
      <vt:lpstr>PestC</vt:lpstr>
      <vt:lpstr>Prep</vt:lpstr>
      <vt:lpstr>'Cost Budgets'!Print_Area</vt:lpstr>
      <vt:lpstr>Prune</vt:lpstr>
      <vt:lpstr>Prune1</vt:lpstr>
      <vt:lpstr>SI</vt:lpstr>
      <vt:lpstr>SiteRec</vt:lpstr>
      <vt:lpstr>Stake</vt:lpstr>
      <vt:lpstr>Stake1</vt:lpstr>
      <vt:lpstr>Stock</vt:lpstr>
      <vt:lpstr>Weed</vt:lpstr>
      <vt:lpstr>Weed1</vt:lpstr>
    </vt:vector>
  </TitlesOfParts>
  <Company>UMC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GodseyL</dc:creator>
  <cp:lastModifiedBy>Windows User</cp:lastModifiedBy>
  <cp:lastPrinted>2009-09-21T18:41:02Z</cp:lastPrinted>
  <dcterms:created xsi:type="dcterms:W3CDTF">2009-07-30T15:10:44Z</dcterms:created>
  <dcterms:modified xsi:type="dcterms:W3CDTF">2021-06-29T13:39:49Z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0x010100D9AF034F0B670B4891A61F46F0FD4463</vt:lpwstr>
  </property>
</Properties>
</file>